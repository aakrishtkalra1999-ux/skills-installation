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Case_Financials" state="visible" r:id="rId5"/>
    <sheet sheetId="3" name="Case_Digital" state="visible" r:id="rId6"/>
    <sheet sheetId="4" name="Case_Ops" state="visible" r:id="rId7"/>
    <sheet sheetId="5" name="Diagnosis" state="visible" r:id="rId8"/>
    <sheet sheetId="6" name="Assumptions" state="visible" r:id="rId9"/>
    <sheet sheetId="7" name="Initiatives" state="visible" r:id="rId10"/>
    <sheet sheetId="8" name="Projection" state="visible" r:id="rId11"/>
    <sheet sheetId="9" name="Segments" state="visible" r:id="rId12"/>
    <sheet sheetId="10" name="Sensitivity" state="visible" r:id="rId13"/>
    <sheet sheetId="11" name="Sources" state="visible" r:id="rId14"/>
  </sheets>
  <calcPr calcId="171027" fullCalcOnLoad="1"/>
</workbook>
</file>

<file path=xl/sharedStrings.xml><?xml version="1.0" encoding="utf-8"?>
<sst xmlns="http://schemas.openxmlformats.org/spreadsheetml/2006/main" count="1001" uniqueCount="820">
  <si>
    <t>Ironbridge Industrial Group — Digital transformation model</t>
  </si>
  <si>
    <t>Armageddon 2026 case submission support. Team ID: [to be added]. USD million unless stated; baseline FY2025; mandate Jan-2026 to Jun-2027. Plan shown at the base-case realisation factor (Assumptions).</t>
  </si>
  <si>
    <t>Win condition — is Ironbridge "turned around" by Jun-27?</t>
  </si>
  <si>
    <t>Test</t>
  </si>
  <si>
    <t>Unit</t>
  </si>
  <si>
    <t>Target</t>
  </si>
  <si>
    <t>Plan</t>
  </si>
  <si>
    <t>Result</t>
  </si>
  <si>
    <t>Why this test</t>
  </si>
  <si>
    <t>1 Liquidity: new money needed beyond rollover + identified sources</t>
  </si>
  <si>
    <t>USD m</t>
  </si>
  <si>
    <t>Mandate is funded without fresh money (momentum needs it)</t>
  </si>
  <si>
    <t>2 Solvency: exit interest cover, downside case (50% realisation)</t>
  </si>
  <si>
    <t>x</t>
  </si>
  <si>
    <t>Earnings cover interest even if only half the benefits land</t>
  </si>
  <si>
    <t>3 Auto: run-rate EBITDA vs its share of maintenance capex</t>
  </si>
  <si>
    <t>Auto funds its own upkeep → no longer a cash drain, so no case for a forced sale</t>
  </si>
  <si>
    <t>4 Digital: net digital contribution (run-rate)</t>
  </si>
  <si>
    <t>Digital pays for itself</t>
  </si>
  <si>
    <t>Key outputs</t>
  </si>
  <si>
    <t>Base (momentum)</t>
  </si>
  <si>
    <t>Δ</t>
  </si>
  <si>
    <t>Note</t>
  </si>
  <si>
    <t>EBITDA 2025A</t>
  </si>
  <si>
    <t>EBITDA — Jun-27 run-rate</t>
  </si>
  <si>
    <t>Base includes the automatic roll-off of 23 of 2025 implementation costs (Ex.6)</t>
  </si>
  <si>
    <t>EBITDA margin — Jun-27 run-rate</t>
  </si>
  <si>
    <t>%</t>
  </si>
  <si>
    <t>EBITDA — last twelve months to Jun-27</t>
  </si>
  <si>
    <t>What lenders test</t>
  </si>
  <si>
    <t>Free cash flow — 18 months</t>
  </si>
  <si>
    <t>Before disposals and financing</t>
  </si>
  <si>
    <t>Net debt — Jun-27</t>
  </si>
  <si>
    <t>2025: 755</t>
  </si>
  <si>
    <t>Net debt / LTM EBITDA — Jun-27</t>
  </si>
  <si>
    <t>2025: 30.2x</t>
  </si>
  <si>
    <t>Interest cover — LTM to Jun-27</t>
  </si>
  <si>
    <t>2025: 0.6x</t>
  </si>
  <si>
    <t>Interest cover — Jun-27 run-rate</t>
  </si>
  <si>
    <t>New money to raise (after rollover and identified sources)</t>
  </si>
  <si>
    <t>Sources &amp; uses on Projection</t>
  </si>
  <si>
    <t>Run-rate EBITDA vs free-cash-flow break-even</t>
  </si>
  <si>
    <t>Negative: balance-sheet action needed beyond Jun-27</t>
  </si>
  <si>
    <t>Auto EBITDA margin — Jun-27 run-rate (plan)</t>
  </si>
  <si>
    <t>2025: 0.9%</t>
  </si>
  <si>
    <t>Net digital contribution — 2025 vs Jun-27 run-rate (plan)</t>
  </si>
  <si>
    <t>Column C here = 2025 actual, not base</t>
  </si>
  <si>
    <t>Run-rate EBITDA at 100% realisation (stretch) / 50% (downside)</t>
  </si>
  <si>
    <t>C = stretch, D = downside</t>
  </si>
  <si>
    <t>Integrity checks (all should read OK)</t>
  </si>
  <si>
    <t>Check</t>
  </si>
  <si>
    <t>Value</t>
  </si>
  <si>
    <t>Status</t>
  </si>
  <si>
    <t>Balance sheet balances (2022–25)</t>
  </si>
  <si>
    <t>Rebuilt EBITDA = case-reported (2022–25)</t>
  </si>
  <si>
    <t>Rebuilt net income = case-reported (2022–25)</t>
  </si>
  <si>
    <t>Opex breakdown = case total (2022–25)</t>
  </si>
  <si>
    <t>Segments reconcile to Group revenue &amp; EBITDA</t>
  </si>
  <si>
    <t>Cash-flow closing cash = balance sheet (2023–25)</t>
  </si>
  <si>
    <t>Debt raised = change in total debt (2023–25)</t>
  </si>
  <si>
    <t>D&amp;A split = total D&amp;A (2023–25)</t>
  </si>
  <si>
    <t>Working-capital change = cash-flow line (2023–25)</t>
  </si>
  <si>
    <t>Ex.6 cost breakdown = Ex.5 operating cost</t>
  </si>
  <si>
    <t>Project + central digital opex = Ex.1 digital opex</t>
  </si>
  <si>
    <t>EBITDA bridge 2022→25 closes</t>
  </si>
  <si>
    <t>Initiative segment splits sum to 100%</t>
  </si>
  <si>
    <t>Workstream view = initiative total</t>
  </si>
  <si>
    <t>Segment run-rates sum to Group run-rate</t>
  </si>
  <si>
    <t>Sources = uses (plan)</t>
  </si>
  <si>
    <t>Zero cash tax valid: highest projected PBT</t>
  </si>
  <si>
    <t>Must be negative</t>
  </si>
  <si>
    <t>How to read this workbook</t>
  </si>
  <si>
    <t>Blue text</t>
  </si>
  <si>
    <t>Input typed from the case or an assumption</t>
  </si>
  <si>
    <t>Black text</t>
  </si>
  <si>
    <t>Formula</t>
  </si>
  <si>
    <t>Green text</t>
  </si>
  <si>
    <t>Direct link to another sheet</t>
  </si>
  <si>
    <t>Yellow fill</t>
  </si>
  <si>
    <t>Key driver or headline output</t>
  </si>
  <si>
    <t>Sheet guide</t>
  </si>
  <si>
    <t>Case_Financials</t>
  </si>
  <si>
    <t>Exhibits 1–4 typed in, subtotals rebuilt and reconciled</t>
  </si>
  <si>
    <t>Case_Digital</t>
  </si>
  <si>
    <t>Exhibits 5–7: programme economics, cost breakdown, KPIs</t>
  </si>
  <si>
    <t>Case_Ops</t>
  </si>
  <si>
    <t>Exhibit 8: footprint, energy, labour, digital readiness</t>
  </si>
  <si>
    <t>Diagnosis</t>
  </si>
  <si>
    <t>Ratios, EBITDA bridge, programme scorecard, Auto digital burden, consistency flag</t>
  </si>
  <si>
    <t>Assumptions</t>
  </si>
  <si>
    <t>Every judgement call with rationale, benchmark, funding bridge and win-condition targets</t>
  </si>
  <si>
    <t>Initiatives</t>
  </si>
  <si>
    <t>Run-rate economics, overlap netting, phasing, workstreams, segment split, working capital</t>
  </si>
  <si>
    <t>Projection</t>
  </si>
  <si>
    <t>Base vs plan EBITDA, cash, net debt, lender (LTM) view, sources &amp; uses</t>
  </si>
  <si>
    <t>Segments</t>
  </si>
  <si>
    <t>Jun-27 run-rate by business, SMC break-even price, SMC exit case</t>
  </si>
  <si>
    <t>Sensitivity</t>
  </si>
  <si>
    <t>Realisation scenarios and one-at-a-time shocks</t>
  </si>
  <si>
    <t>Sources</t>
  </si>
  <si>
    <t>External benchmarks with URLs</t>
  </si>
  <si>
    <t>Case data — financial exhibits (USD m; FY ends 31 Dec)</t>
  </si>
  <si>
    <t>Blue = typed from the case exhibits. Black = formulas that rebuild case subtotals; "case-reported" rows are kept to prove the rebuild matches.</t>
  </si>
  <si>
    <t>Exhibit 1 — Income statement</t>
  </si>
  <si>
    <t>2022</t>
  </si>
  <si>
    <t>2023</t>
  </si>
  <si>
    <t>2024</t>
  </si>
  <si>
    <t>2025</t>
  </si>
  <si>
    <t>Source / note</t>
  </si>
  <si>
    <t>Revenue</t>
  </si>
  <si>
    <t>Ex.1</t>
  </si>
  <si>
    <t>Cost of sales (excl. D&amp;A)</t>
  </si>
  <si>
    <t>Ex.1. Includes energy and direct production labour (Ex.8) and the 2025 digital gross benefits (Ex.5)</t>
  </si>
  <si>
    <t>Gross profit</t>
  </si>
  <si>
    <t>Operating expenses excl. D&amp;A</t>
  </si>
  <si>
    <t>Sum of the Ex.1 opex breakdown below</t>
  </si>
  <si>
    <t>EBITDA</t>
  </si>
  <si>
    <t>Depreciation &amp; amortisation</t>
  </si>
  <si>
    <t>EBIT</t>
  </si>
  <si>
    <t>Net finance costs</t>
  </si>
  <si>
    <t>Ex.1 — interest on debt, net</t>
  </si>
  <si>
    <t>Profit before tax</t>
  </si>
  <si>
    <t>Tax</t>
  </si>
  <si>
    <t>Ex.1 (2023 rounded to 4 per case footnote)</t>
  </si>
  <si>
    <t>Net income</t>
  </si>
  <si>
    <t>EBITDA — case-reported</t>
  </si>
  <si>
    <t>Ex.1, for reconciliation</t>
  </si>
  <si>
    <t>Net income — case-reported</t>
  </si>
  <si>
    <t>Exhibit 1 — Operating expense breakdown</t>
  </si>
  <si>
    <t>Non-digital personnel costs</t>
  </si>
  <si>
    <t>Selling and customer support</t>
  </si>
  <si>
    <t>Digital and AI operating costs</t>
  </si>
  <si>
    <t>Ex.1 — expensed digital personnel, software, cloud, support, implementation</t>
  </si>
  <si>
    <t>Other overheads</t>
  </si>
  <si>
    <t>Total operating expenses — case-reported</t>
  </si>
  <si>
    <t>Exhibit 2 — Balance sheet</t>
  </si>
  <si>
    <t>Cash &amp; cash equivalents</t>
  </si>
  <si>
    <t>Ex.2</t>
  </si>
  <si>
    <t>Trade receivables</t>
  </si>
  <si>
    <t>Inventory</t>
  </si>
  <si>
    <t>Other current assets</t>
  </si>
  <si>
    <t>Total current assets</t>
  </si>
  <si>
    <t>PPE (net)</t>
  </si>
  <si>
    <t>Capitalised digital &amp; AI assets</t>
  </si>
  <si>
    <t>Ex.2 — net carrying value; 65 opening balance = earlier systems</t>
  </si>
  <si>
    <t>Other intangible assets</t>
  </si>
  <si>
    <t>Total non-current assets</t>
  </si>
  <si>
    <t>TOTAL ASSETS</t>
  </si>
  <si>
    <t>Trade payables</t>
  </si>
  <si>
    <t>Short-term debt</t>
  </si>
  <si>
    <t>Other current liabilities</t>
  </si>
  <si>
    <t>Total current liabilities</t>
  </si>
  <si>
    <t>Long-term debt</t>
  </si>
  <si>
    <t>Other long-term liabilities</t>
  </si>
  <si>
    <t>Total non-current liabilities</t>
  </si>
  <si>
    <t>Total liabilities</t>
  </si>
  <si>
    <t>Equity</t>
  </si>
  <si>
    <t>TOTAL LIABILITIES &amp; EQUITY</t>
  </si>
  <si>
    <t>Check: assets − liabilities &amp; equity (should be 0)</t>
  </si>
  <si>
    <t>Exhibit 3 — Segment financials</t>
  </si>
  <si>
    <t>Revenue — Auto Components</t>
  </si>
  <si>
    <t>Ex.3</t>
  </si>
  <si>
    <t>Revenue — Industrial Equipment &amp; Machinery</t>
  </si>
  <si>
    <t>Revenue — Specialty Materials &amp; Coatings</t>
  </si>
  <si>
    <t>Total segment revenue</t>
  </si>
  <si>
    <t>EBITDA — Auto Components</t>
  </si>
  <si>
    <t>Ex.3. Direct project costs charged to segments; shared corporate &amp; central digital costs allocated by revenue</t>
  </si>
  <si>
    <t>EBITDA — Industrial Equipment &amp; Machinery</t>
  </si>
  <si>
    <t>EBITDA — Specialty Materials &amp; Coatings</t>
  </si>
  <si>
    <t>Total segment EBITDA</t>
  </si>
  <si>
    <t>Exhibit 4 — Cash flow and capital expenditure</t>
  </si>
  <si>
    <t>USD m (outflows negative)</t>
  </si>
  <si>
    <t>Add D&amp;A</t>
  </si>
  <si>
    <t>Increase in operating working capital</t>
  </si>
  <si>
    <t>Ex.4</t>
  </si>
  <si>
    <t>Operating cash flow after interest and tax</t>
  </si>
  <si>
    <t>Maintenance PPE capex</t>
  </si>
  <si>
    <t>Ex.4 — sustains existing operations; case asks to justify any reduction</t>
  </si>
  <si>
    <t>Physical upgrade and expansion capex</t>
  </si>
  <si>
    <t>Capitalised Factory of the Future spend</t>
  </si>
  <si>
    <t>Other intangible additions</t>
  </si>
  <si>
    <t>Total capital expenditure</t>
  </si>
  <si>
    <t>Free cash flow before disposals</t>
  </si>
  <si>
    <t>Other intangible disposal proceeds</t>
  </si>
  <si>
    <t>Ex.4 — non-core licences sold at carrying value</t>
  </si>
  <si>
    <t>Net debt raised</t>
  </si>
  <si>
    <t>Dividends paid</t>
  </si>
  <si>
    <t>Net change in cash</t>
  </si>
  <si>
    <t>Opening cash</t>
  </si>
  <si>
    <t>Closing cash</t>
  </si>
  <si>
    <t>Check: closing cash − balance-sheet cash (should be 0)</t>
  </si>
  <si>
    <t>Check: debt raised − change in total debt (should be 0)</t>
  </si>
  <si>
    <t>D&amp;A — PPE</t>
  </si>
  <si>
    <t>Ex.4 asset movement reconciliation</t>
  </si>
  <si>
    <t>D&amp;A — digital &amp; AI assets</t>
  </si>
  <si>
    <t>D&amp;A — other intangibles</t>
  </si>
  <si>
    <t>Check: D&amp;A split − total D&amp;A (should be 0)</t>
  </si>
  <si>
    <t>Case data — digital programme (Exhibits 5–7, USD m)</t>
  </si>
  <si>
    <t>Columns: Predictive maintenance (PdM) · Computer-vision inspection (Vision) · Supply-chain planning (SCP) · Programme total.</t>
  </si>
  <si>
    <t>Exhibit 5 — Programme economics</t>
  </si>
  <si>
    <t>PdM</t>
  </si>
  <si>
    <t>Vision</t>
  </si>
  <si>
    <t>SCP</t>
  </si>
  <si>
    <t>Total</t>
  </si>
  <si>
    <t>Capitalised spend 2023–25</t>
  </si>
  <si>
    <t>Ex.5</t>
  </si>
  <si>
    <t>Net assets at end-2025</t>
  </si>
  <si>
    <t>2025 operating cost (excl. D&amp;A)</t>
  </si>
  <si>
    <t>2025 gross benefit (realised, already in Cost of Sales)</t>
  </si>
  <si>
    <t>Ex.5 — NOT an exit run-rate; must not be re-counted as future gain</t>
  </si>
  <si>
    <t>Requested capex, next 18 months (unapproved)</t>
  </si>
  <si>
    <t>Ex.5 — excludes recurring opex and remaining implementation</t>
  </si>
  <si>
    <t>Exhibit 6 — 2025 project operating cost breakdown</t>
  </si>
  <si>
    <t>Software and platform licences</t>
  </si>
  <si>
    <t>Ex.6 — recurring</t>
  </si>
  <si>
    <t>Cloud or edge compute and data storage</t>
  </si>
  <si>
    <t>Metered language-model inference / tokens</t>
  </si>
  <si>
    <t>Ex.6 — recurring; planning pilot only (agent calls)</t>
  </si>
  <si>
    <t>Monitoring, support and model maintenance</t>
  </si>
  <si>
    <t>Recurring operating costs (subtotal)</t>
  </si>
  <si>
    <t>Systems integration and data engineering</t>
  </si>
  <si>
    <t>Ex.6 — temporary</t>
  </si>
  <si>
    <t>Data preparation, labelling, initial model validation</t>
  </si>
  <si>
    <t>Training and change management</t>
  </si>
  <si>
    <t>Temporary implementation costs (subtotal)</t>
  </si>
  <si>
    <t>Total 2025 project operating cost</t>
  </si>
  <si>
    <t>Check: Ex.6 total − Ex.5 operating cost (should be 0)</t>
  </si>
  <si>
    <t>Committed recurring cost payable Jan–Dec 2026</t>
  </si>
  <si>
    <t>Ex.6 — payable even if deployment stops; included in recurring above</t>
  </si>
  <si>
    <t>Remaining expensed implementation work in 2026</t>
  </si>
  <si>
    <t>Ex.6 — required to continue CURRENT scope; excludes capex requests</t>
  </si>
  <si>
    <t>Shared central digital cost (annual)</t>
  </si>
  <si>
    <t>Ex.6/Ex.8 — includes payroll of 24-person central team; stays in base case</t>
  </si>
  <si>
    <t>Central digital team (FTE)</t>
  </si>
  <si>
    <t>Ex.8</t>
  </si>
  <si>
    <t>Exhibit 7 — Deployment and operational evidence (deployed scope only)</t>
  </si>
  <si>
    <t>KPI</t>
  </si>
  <si>
    <t>Unplanned downtime (% sched. hrs)</t>
  </si>
  <si>
    <t>Scrap/rework (% covered-line cost)</t>
  </si>
  <si>
    <t>Pilot inventory days</t>
  </si>
  <si>
    <t>Ex.7</t>
  </si>
  <si>
    <t>Deployed scope (machines / lines / plants)</t>
  </si>
  <si>
    <t>Ex.7 — PdM 150 machines (2 Auto + 1 IEM plant); Vision 8 lines (2 Auto + 1 SMC plant); SCP 3 plants (2 Auto + 1 IEM)</t>
  </si>
  <si>
    <t>Baseline</t>
  </si>
  <si>
    <t>Original business-case target</t>
  </si>
  <si>
    <t>Ex.7 — targets, not achieved results</t>
  </si>
  <si>
    <t>2025 outcome</t>
  </si>
  <si>
    <t>Adoption metric</t>
  </si>
  <si>
    <t>Ex.7 — PdM: actionable alerts closed in window; Vision: flagged rejects needing manual review; SCP: schedules accepted without override</t>
  </si>
  <si>
    <t>On-time delivery (SCP pilot): baseline / 2025</t>
  </si>
  <si>
    <t>Ex.7 — 86% baseline, 86% in 2025 (no change)</t>
  </si>
  <si>
    <t>Reported constraint</t>
  </si>
  <si>
    <t>Maint. records, work-order integration, technicians</t>
  </si>
  <si>
    <t>Calibration on spec change; selected families only</t>
  </si>
  <si>
    <t>Master-data inconsistency; separate planning systems</t>
  </si>
  <si>
    <t>Case data — operating context (Exhibit 8)</t>
  </si>
  <si>
    <t>Manufacturing footprint and operating costs (2025)</t>
  </si>
  <si>
    <t>Auto</t>
  </si>
  <si>
    <t>IEM</t>
  </si>
  <si>
    <t>SMC</t>
  </si>
  <si>
    <t>Group</t>
  </si>
  <si>
    <t>Plants</t>
  </si>
  <si>
    <t>Ex.8 — Auto: India 3, Vietnam 1, CE 1; IEM: India 1, Vietnam 1, CE 1; SMC: India 2, CE 1</t>
  </si>
  <si>
    <t>Capacity utilisation</t>
  </si>
  <si>
    <t>Ex.8 — actual output / practical capacity at 2025 mix</t>
  </si>
  <si>
    <t>Energy expenditure (USD m, in Cost of Sales)</t>
  </si>
  <si>
    <t>Direct production labour (USD m, in Cost of Sales)</t>
  </si>
  <si>
    <t>Main processes</t>
  </si>
  <si>
    <t>Machining, forging, assembly</t>
  </si>
  <si>
    <t>Fabrication, machining, assembly</t>
  </si>
  <si>
    <t>Mixing, batch processing, coating</t>
  </si>
  <si>
    <t>Principal customer requirements</t>
  </si>
  <si>
    <t>Accuracy, traceability, delivery, price</t>
  </si>
  <si>
    <t>Reliability, configurability, lead time, service</t>
  </si>
  <si>
    <t>Batch consistency, performance, tech support</t>
  </si>
  <si>
    <t>Digital readiness</t>
  </si>
  <si>
    <t>Plants on shared ERP (of 11)</t>
  </si>
  <si>
    <t>Ex.8 — 3 plants on local systems with monthly manual consolidation</t>
  </si>
  <si>
    <t>Production equipment with centrally accessible machine data</t>
  </si>
  <si>
    <t>Ex.8 — rest on local logs/manual records; data definitions vary across plants</t>
  </si>
  <si>
    <t>Diagnosis — what the exhibits say</t>
  </si>
  <si>
    <t>1. Profitability, leverage and liquidity</t>
  </si>
  <si>
    <t>Reading</t>
  </si>
  <si>
    <t>Revenue growth</t>
  </si>
  <si>
    <t>Gross margin</t>
  </si>
  <si>
    <t>Down ~3.4pp despite 13 of digital benefits inside 2025 COGS</t>
  </si>
  <si>
    <t>EBITDA margin</t>
  </si>
  <si>
    <t>Opex (excl. D&amp;A) / revenue</t>
  </si>
  <si>
    <t>Digital &amp; AI opex / revenue</t>
  </si>
  <si>
    <t>Digital opex 6x since 2022 (8 → 48)</t>
  </si>
  <si>
    <t>Total debt (short + long term)</t>
  </si>
  <si>
    <t>Net debt</t>
  </si>
  <si>
    <t>Net debt / EBITDA</t>
  </si>
  <si>
    <t>30x in 2025 — ratings downgrade warning is unsurprising</t>
  </si>
  <si>
    <t>Interest cover (EBITDA / net finance costs)</t>
  </si>
  <si>
    <t>Below 1.0x: operating earnings no longer cover interest</t>
  </si>
  <si>
    <t>Implied interest rate (finance cost / average debt)</t>
  </si>
  <si>
    <t>2025 rate used to project interest (Assumptions)</t>
  </si>
  <si>
    <t>Short-term debt / total debt</t>
  </si>
  <si>
    <t>Refinancing risk rising: 180 due within 12 months vs 30 cash</t>
  </si>
  <si>
    <t>2. Working capital</t>
  </si>
  <si>
    <t>Operating working capital</t>
  </si>
  <si>
    <t>Ex.4 definition</t>
  </si>
  <si>
    <t>Check: Δ working capital + cash-flow line (should be 0)</t>
  </si>
  <si>
    <t>Inventory days (inventory / COGS × 365)</t>
  </si>
  <si>
    <t>87 → 100 days: ~33 of cash tied up vs 2022 level</t>
  </si>
  <si>
    <t>Receivable days (DSO)</t>
  </si>
  <si>
    <t>Payable days (DPO)</t>
  </si>
  <si>
    <t>Not used as a lever: stretching suppliers during a downgrade is high-risk</t>
  </si>
  <si>
    <t>Cash conversion cycle (days)</t>
  </si>
  <si>
    <t>3. Segment EBITDA margins</t>
  </si>
  <si>
    <t>Auto Components</t>
  </si>
  <si>
    <t>11.1% → 0.9%: in forced-sale territory</t>
  </si>
  <si>
    <t>Industrial Equipment &amp; Machinery</t>
  </si>
  <si>
    <t>Growing; the healthiest business</t>
  </si>
  <si>
    <t>Specialty Materials &amp; Coatings</t>
  </si>
  <si>
    <t>Loss-making; energy is 23% of revenue</t>
  </si>
  <si>
    <t>4. EBITDA bridge 2022 → 2025</t>
  </si>
  <si>
    <t>Impact</t>
  </si>
  <si>
    <t>% of decline</t>
  </si>
  <si>
    <t>EBITDA 2022</t>
  </si>
  <si>
    <t>Underlying gross-profit erosion (excl. digital benefits)</t>
  </si>
  <si>
    <t>OEM pricing, input &amp; energy costs, mix — the COO and Auto sales head are both right</t>
  </si>
  <si>
    <t>Digital gross benefits realised in COGS (2025)</t>
  </si>
  <si>
    <t>Increase in digital &amp; AI opex</t>
  </si>
  <si>
    <t>Single largest controllable driver</t>
  </si>
  <si>
    <t>Increase in non-digital personnel</t>
  </si>
  <si>
    <t>Increase in selling &amp; customer support</t>
  </si>
  <si>
    <t>Change in other overheads</t>
  </si>
  <si>
    <t>EBITDA 2025</t>
  </si>
  <si>
    <t>Check: bridge end − reported 2025 EBITDA (should be 0)</t>
  </si>
  <si>
    <t>Memo: segment EBITDA change — Auto</t>
  </si>
  <si>
    <t>Auto explains ~2/3 of the Group decline</t>
  </si>
  <si>
    <t>Memo: segment EBITDA change — IEM</t>
  </si>
  <si>
    <t>Memo: segment EBITDA change — SMC</t>
  </si>
  <si>
    <t>5. Factory of the Future scorecard (2025)</t>
  </si>
  <si>
    <t>Programme</t>
  </si>
  <si>
    <t>2025 operating cost</t>
  </si>
  <si>
    <t xml:space="preserve">  of which recurring</t>
  </si>
  <si>
    <t xml:space="preserve">  of which temporary implementation</t>
  </si>
  <si>
    <t>2025 gross benefit</t>
  </si>
  <si>
    <t>Net 2025 P&amp;L effect (benefit − operating cost)</t>
  </si>
  <si>
    <t>Net recurring effect (benefit − recurring cost)</t>
  </si>
  <si>
    <t>PdM and Vision pay their running costs; SCP does not</t>
  </si>
  <si>
    <t>Benefit per $ of recurring cost</t>
  </si>
  <si>
    <t>Share of targeted KPI improvement achieved</t>
  </si>
  <si>
    <t>PdM 60%, Vision 48%; SCP negative — inventory days rose 90 → 94</t>
  </si>
  <si>
    <t>Years of net recurring benefit to recover capitalised spend</t>
  </si>
  <si>
    <t>At current scope, even the winners take 18–25 years: scale and adoption are the issue, not the technology</t>
  </si>
  <si>
    <t>Total digital &amp; AI opex 2025 (projects + central)</t>
  </si>
  <si>
    <t>36 project + 12 shared central</t>
  </si>
  <si>
    <t>Check: vs Ex.1 digital opex (should be 0)</t>
  </si>
  <si>
    <t>Net digital P&amp;L 2025 (benefits − all digital opex)</t>
  </si>
  <si>
    <t>Digital is currently a −35 drag on a 25 EBITDA business</t>
  </si>
  <si>
    <t>6. What improves automatically in 2026 (not claimed as our impact)</t>
  </si>
  <si>
    <t>2025 temporary implementation cost</t>
  </si>
  <si>
    <t>Remaining implementation work required in 2026 (current scope)</t>
  </si>
  <si>
    <t>Automatic 2026 EBITDA roll-off vs 2025</t>
  </si>
  <si>
    <t>Temporary costs do not recur (Ex.6). Base case gets this too — our plan must beat it</t>
  </si>
  <si>
    <t>7. How much of Auto's collapse is digital? (allocation assumption)</t>
  </si>
  <si>
    <t>Pilot project opex borne by Auto</t>
  </si>
  <si>
    <t>Pilots sit in 2 Auto plants of 3 per project → 2/3 share (assumption)</t>
  </si>
  <si>
    <t>Central digital cost allocated to Auto (by revenue)</t>
  </si>
  <si>
    <t>Ex.3 allocation rule</t>
  </si>
  <si>
    <t>Digital benefits accruing to Auto</t>
  </si>
  <si>
    <t>Net digital drag on Auto EBITDA</t>
  </si>
  <si>
    <t>Auto EBITDA excluding net digital drag</t>
  </si>
  <si>
    <t>Auto EBITDA margin excluding net digital drag</t>
  </si>
  <si>
    <t>Still far below 11.1% in 2022 → the rest is pricing/volume/input cost: digital must reach commercial &amp; procurement</t>
  </si>
  <si>
    <t>8. Consistency flag — Vision benefit vs scrap reduction</t>
  </si>
  <si>
    <t>Implied covered-line production cost (benefit ÷ scrap-point reduction)</t>
  </si>
  <si>
    <t>7.0 ÷ 1.2% ≈ 583</t>
  </si>
  <si>
    <t>Implied share of Group cost of sales on 8 lines</t>
  </si>
  <si>
    <t>Implausible for 8 lines → benefit likely includes inspection-labour savings. We do NOT extrapolate this ratio; new lines are haircut 50%</t>
  </si>
  <si>
    <t>Assumptions — every judgement call in one place</t>
  </si>
  <si>
    <t>Blue = our assumption (edit to test). Yellow = key driver. Green = linked from case data. [Bx] codes point to the Sources tab.</t>
  </si>
  <si>
    <t>Assumption</t>
  </si>
  <si>
    <t>Rationale / benchmark</t>
  </si>
  <si>
    <t>General</t>
  </si>
  <si>
    <t>Benefit realisation factor (base case)</t>
  </si>
  <si>
    <t>Pilots achieved 48–60% of targeted KPI gains (Ex.7); benchmark levers are already sized well below published ranges → 75% sits between. 100% = stretch, 50% = downside (Sensitivity). Not applied to F3 (contractual cost removal)</t>
  </si>
  <si>
    <t>Auto share of pilot project cost &amp; benefit</t>
  </si>
  <si>
    <t>Each pilot runs in 2 Auto plants out of 3 (Ex.7); allocation by plant count</t>
  </si>
  <si>
    <t>Incremental recurring cost per unit when scaling, vs pilot per-unit cost</t>
  </si>
  <si>
    <t>Platform licences, monitoring and team are shared, so scaling costs less than the pilot per unit</t>
  </si>
  <si>
    <t>Interest rate on debt (before refinancing premium)</t>
  </si>
  <si>
    <t>2025 implied: 40 ÷ average debt of 742 (Diagnosis). Applied to opening debt each period (avoids circularity)</t>
  </si>
  <si>
    <t>Refinancing premium on rolled-over short-term debt and all new money</t>
  </si>
  <si>
    <t>Assumption: +300bp for a borrower on downgrade watch; applied from Jan-26 to the 180 of short-term debt and to every dollar of new borrowing</t>
  </si>
  <si>
    <t>Minimum cash balance</t>
  </si>
  <si>
    <t>Held at the 2025 closing level; any shortfall is funded by debt</t>
  </si>
  <si>
    <t>Cash tax</t>
  </si>
  <si>
    <t>PBT stays negative through Jun-27 in every case (checked on Projection); no cash tax</t>
  </si>
  <si>
    <t>D&amp;A per year (for PBT check only)</t>
  </si>
  <si>
    <t>Held at 2025 level; used only to confirm PBT &lt; 0</t>
  </si>
  <si>
    <t>Steady-state digital capex per year after the mandate</t>
  </si>
  <si>
    <t>Used only for the run-rate cash break-even test</t>
  </si>
  <si>
    <t>Revenue and underlying gross margin held at 2025 levels</t>
  </si>
  <si>
    <t>Held</t>
  </si>
  <si>
    <t>No market recovery and no further erosion assumed. OEM price-down and volume risks shown on Sensitivity</t>
  </si>
  <si>
    <t>Base case (momentum: current scope continues, capex requests approved as submitted)</t>
  </si>
  <si>
    <t>Base: upgrade &amp; expansion capex per year</t>
  </si>
  <si>
    <t>2025 level (Ex.4)</t>
  </si>
  <si>
    <t>Base: digital capex over 18 months</t>
  </si>
  <si>
    <t>All three requests approved (8 + 12 + 10; Ex.5)</t>
  </si>
  <si>
    <t>Base: share of 18-month digital capex spent in 2026</t>
  </si>
  <si>
    <t>Straight-line over 18 months</t>
  </si>
  <si>
    <t>Capex policy (plan)</t>
  </si>
  <si>
    <t>Maintenance capex per year (plan and base)</t>
  </si>
  <si>
    <t>NOT reduced: already below PPE depreciation of 50 (Ex.4); case requires justification for any cut</t>
  </si>
  <si>
    <t>Plan: upgrade &amp; expansion capex per year</t>
  </si>
  <si>
    <t>Defer expansion: utilisation is 72% Auto, 81% IEM, 67% SMC (Ex.8), so no business is capacity-constrained. Keep 10 for safety/debottlenecking</t>
  </si>
  <si>
    <t>W1 Foundations</t>
  </si>
  <si>
    <t>F1 Master data &amp; ERP harmonisation: capex</t>
  </si>
  <si>
    <t>Redirect the SCP capex request (10) to move the 3 local-system plants onto the shared ERP in waves + master-data tooling</t>
  </si>
  <si>
    <t>F1: one-off implementation opex</t>
  </si>
  <si>
    <t>Uses the SCP remaining-work budget (3.0), repurposed to data cleansing and governance</t>
  </si>
  <si>
    <t>F1: recurring cost (data stewards, MDM tool)</t>
  </si>
  <si>
    <t>Assumption: ~5 data stewards across plants + MDM licence</t>
  </si>
  <si>
    <t>F2 Digital Value Office: recurring cost</t>
  </si>
  <si>
    <t>Chief Digital Officer reporting to CEO + 4 business product owners + value tracking; central team of 24 reallocated, not added</t>
  </si>
  <si>
    <t>F2: one-off change management &amp; training</t>
  </si>
  <si>
    <t>Plant digital-champion network, adoption training</t>
  </si>
  <si>
    <t>F3 SCP descope: licences retained</t>
  </si>
  <si>
    <t>Keep the core planning tool so planners keep working and data fixes can be tested</t>
  </si>
  <si>
    <t>F3: cloud/compute retained</t>
  </si>
  <si>
    <t>Smaller footprint once agent layer is off</t>
  </si>
  <si>
    <t>F3: language-model tokens retained</t>
  </si>
  <si>
    <t>Switch off the agentic layer: 35% acceptance, inventory days worse (Ex.7)</t>
  </si>
  <si>
    <t>F3: monitoring &amp; model maintenance retained</t>
  </si>
  <si>
    <t>Fewer models to maintain</t>
  </si>
  <si>
    <t>F3: one-off transition / shutdown cost</t>
  </si>
  <si>
    <t>Case requires an explicit assumption (Ex.6). 2026 commitments (2.0) are below the retained run-cost (3.1) and lapse without penalty from Jan-27</t>
  </si>
  <si>
    <t>W2 Maintenance · W3 Quality (fix and scale what works)</t>
  </si>
  <si>
    <t>S1 PdM current cohort: target downtime by Jun-27</t>
  </si>
  <si>
    <t>12% → 7.5% = 37.5% reduction, inside McKinsey's 30–50% range [B1]; short of the 7% business-case target given technician constraints</t>
  </si>
  <si>
    <t>S1: recurring cost (technician capacity, work-order integration upkeep)</t>
  </si>
  <si>
    <t>Close the loop: alerts closed in window 60% → 85% (month-6 gate)</t>
  </si>
  <si>
    <t>S2 PdM scale-up: additional connected assets</t>
  </si>
  <si>
    <t>Doubles the cohort, IEM-led (81% utilisation, growing); released only after the S1 gate</t>
  </si>
  <si>
    <t>S2: benefit per asset vs pilot</t>
  </si>
  <si>
    <t>Haircut for new plants and lower data readiness (40% machine-data coverage, Ex.8)</t>
  </si>
  <si>
    <t>S2: share of new assets in Auto</t>
  </si>
  <si>
    <t>Rest in IEM</t>
  </si>
  <si>
    <t>S2: one-off implementation opex</t>
  </si>
  <si>
    <t>Integration + model tuning for new assets</t>
  </si>
  <si>
    <t>S2: capex</t>
  </si>
  <si>
    <t>Approve the PdM request (Ex.5), released in tranches after the gate</t>
  </si>
  <si>
    <t>S3 Vision current lines: target scrap/rework by Jun-27</t>
  </si>
  <si>
    <t>6.0% → 4.2% = 72% of targeted improvement (vs 48% today) via retraining and a calibration workflow for spec changes</t>
  </si>
  <si>
    <t>S3: one-off retraining / calibration workflow</t>
  </si>
  <si>
    <t>Remaining 2026 work (2.0) is already in the base case</t>
  </si>
  <si>
    <t>S4 Vision + traceability: additional Auto lines (gated, one named OEM programme)</t>
  </si>
  <si>
    <t>Only where an OEM programme demands part-level traceability; capex released after month-9 gate. EBITDA-neutral — justified as customer retention, so kept small</t>
  </si>
  <si>
    <t>S4: benefit per line vs pilot average</t>
  </si>
  <si>
    <t>Pilot ratio implies implausible covered cost (Diagnosis §8) → 50% haircut</t>
  </si>
  <si>
    <t>S4: one-off implementation opex</t>
  </si>
  <si>
    <t>Stations, calibration for new part families</t>
  </si>
  <si>
    <t>S4: capex</t>
  </si>
  <si>
    <t>Cut the 12 request to 4: three Auto lines for one OEM programme</t>
  </si>
  <si>
    <t>W4 Energy &amp; process · W5 Procurement · W6 Commercial &amp; back-office · W7 Service growth</t>
  </si>
  <si>
    <t>N1 Energy management: saving on Auto energy (forging)</t>
  </si>
  <si>
    <t>Sub-metering + load scheduling + furnace optimisation. ISO 50001 plants ~4.1% in year 1 [B3]; APC up to 10% energy reduction [B2]</t>
  </si>
  <si>
    <t>N1: saving on IEM energy</t>
  </si>
  <si>
    <t>Less energy-intensive assembly; lower target</t>
  </si>
  <si>
    <t>N1: saving on SMC energy</t>
  </si>
  <si>
    <t>Batch heating/curing: energy is 23% of SMC revenue (Ex.8)</t>
  </si>
  <si>
    <t>N1: recurring cost (energy platform, analyst)</t>
  </si>
  <si>
    <t>N1: one-off implementation opex</t>
  </si>
  <si>
    <t>N1: capex (sub-metering, controls)</t>
  </si>
  <si>
    <t>Needed: only 40% of equipment has central machine data (Ex.8)</t>
  </si>
  <si>
    <t>N2 SMC golden-batch / process control: yield gain on SMC materials &amp; other cost</t>
  </si>
  <si>
    <t>APC delivers up to 5% yield [B2]. Sized on materials only (energy excluded) → no overlap with N1. Funded only if SMC passes the month-6 gate</t>
  </si>
  <si>
    <t>N2: recurring cost</t>
  </si>
  <si>
    <t>N2: one-off implementation opex</t>
  </si>
  <si>
    <t>N2: capex (process sensors)</t>
  </si>
  <si>
    <t>N3 Procurement analytics: addressable share of non-energy, non-labour COGS</t>
  </si>
  <si>
    <t>COGS 930 − energy 120 − labour 180 = 630; ~70% is bought-in materials &amp; parts (assumption)</t>
  </si>
  <si>
    <t>N3: net saving on addressable spend</t>
  </si>
  <si>
    <t>Far below the 6–12% McKinsey observes in chemicals procurement [B4]</t>
  </si>
  <si>
    <t>N3: recurring cost (spend-cube tool, 2 analysts)</t>
  </si>
  <si>
    <t>N3: one-off implementation opex</t>
  </si>
  <si>
    <t>N4 Commercial: index-linked cost pass-through, Auto</t>
  </si>
  <si>
    <t>NOT a list-price rise: inserts energy/raw-material index clauses at named OEM contract renewals, recovering inflation Ironbridge absorbed. Pricing programmes add 2–7pp ROS [B5]</t>
  </si>
  <si>
    <t>N4: price realisation, IEM (configure-price-quote)</t>
  </si>
  <si>
    <t>Configuration flexibility is valued (Ex.8); CPQ cuts quote lead time and discount leakage</t>
  </si>
  <si>
    <t>N4: price realisation, SMC (cost pass-through, specialty value pricing)</t>
  </si>
  <si>
    <t>SMC EBITDA fell 15 in 2025 on flat revenue → energy/input inflation not passed on. Specialty coatings carry more pricing power than auto parts</t>
  </si>
  <si>
    <t>N4: recurring cost (pricing analysts, CPQ licence)</t>
  </si>
  <si>
    <t>Covers all three businesses</t>
  </si>
  <si>
    <t>N4: one-off implementation opex</t>
  </si>
  <si>
    <t>N5 IEM connected-service pilot: service revenue as % of IEM revenue by Jun-27</t>
  </si>
  <si>
    <t>Remote monitoring + predictive service on installed pumps/drives, reusing the PdM stack</t>
  </si>
  <si>
    <t>N5: EBITDA margin on service revenue</t>
  </si>
  <si>
    <t>Aftermarket services average 25% EBIT vs 10% for new equipment [B6]; haircut for start-up</t>
  </si>
  <si>
    <t>N5: one-off (offer design, pilot contracts)</t>
  </si>
  <si>
    <t>N5: capex (sensor kits for pilot fleet)</t>
  </si>
  <si>
    <t>N6 Back-office &amp; customer-support automation: addressable cost</t>
  </si>
  <si>
    <t>Non-digital personnel (108) + selling &amp; customer support (45): up 28 since 2022 while revenue rose 3.5% (Ex.1)</t>
  </si>
  <si>
    <t>N6: productivity saving on addressable cost</t>
  </si>
  <si>
    <t>GenAI in customer care: 30–45% of function cost [B8]; automation of the 3 plants' manual month-end consolidation (Ex.8). Delivered via attrition and hiring freeze</t>
  </si>
  <si>
    <t>N6: recurring cost (GenAI licences, tokens, automation upkeep)</t>
  </si>
  <si>
    <t>Token spend budgeted explicitly — the SCP lesson (Ex.6)</t>
  </si>
  <si>
    <t>N6: one-off implementation opex</t>
  </si>
  <si>
    <t>Overlap netting (so benefits are not double-counted)</t>
  </si>
  <si>
    <t>O2: share of Auto procurement savings passed back to OEMs</t>
  </si>
  <si>
    <t>Index-linked clauses work both ways: cheaper indexed materials flow through to OEM prices. Applied to Auto's revenue share of N3</t>
  </si>
  <si>
    <t>O3: share of Auto productivity savings conceded in OEM annual price-downs</t>
  </si>
  <si>
    <t>Auto OEMs typically ask for annual productivity give-backs; applied to Auto's share of PdM, vision and energy savings</t>
  </si>
  <si>
    <t>Working capital (plan) — phased after the master-data fix</t>
  </si>
  <si>
    <t>Inventory days — Dec-26</t>
  </si>
  <si>
    <t>From 100. 2026: slow-mover clean-up and safety-stock reset only (does not need the planning tool)</t>
  </si>
  <si>
    <t>Inventory days — Jun-27</t>
  </si>
  <si>
    <t>After F1 master data: 2023 level was 88. A 10% cut vs 30% achieved in a McKinsey SC case [B7]</t>
  </si>
  <si>
    <t>Receivable days (DSO) — Dec-26</t>
  </si>
  <si>
    <t>From 52.8. E-invoicing, collections analytics, dispute resolution</t>
  </si>
  <si>
    <t>Receivable days (DSO) — Jun-27</t>
  </si>
  <si>
    <t>2023 level was 47.9</t>
  </si>
  <si>
    <t>Funding bridge (balance-sheet actions, outside the digital numbers)</t>
  </si>
  <si>
    <t>Further non-core licence disposals</t>
  </si>
  <si>
    <t>Precedent in the case: non-core licences sold at carrying value — 19 (2024), 31 (2025); 113 of other intangibles remain (Ex.2, Ex.4)</t>
  </si>
  <si>
    <t>Sale-and-leaseback of selected plant property</t>
  </si>
  <si>
    <t>Assumption: ~6% of 680 net PPE. Creates a lease liability: buys liquidity, not deleveraging</t>
  </si>
  <si>
    <t>Supply-chain finance / non-recourse receivables factoring</t>
  </si>
  <si>
    <t>Assumption: ~15% of 172 receivables, on OEM-backed programmes</t>
  </si>
  <si>
    <t>Sensitivity inputs</t>
  </si>
  <si>
    <t>Auto contribution margin (for volume shocks)</t>
  </si>
  <si>
    <t>Assumption: materials, energy and ~half of direct labour vary with volume</t>
  </si>
  <si>
    <t>Win condition — what "turned around by Jun-27" means (tests a board and its lenders would apply)</t>
  </si>
  <si>
    <t>Liquidity: new money needed beyond rolling the 180 and identified sources — at most</t>
  </si>
  <si>
    <t>The company can fund the mandate without asking lenders for fresh money (2025: FCF −141)</t>
  </si>
  <si>
    <t>Solvency: exit run-rate interest cover in the DOWNSIDE case (50% realisation) — at least</t>
  </si>
  <si>
    <t>Earnings cover interest again even if only half the benefits land (2025: 0.6x)</t>
  </si>
  <si>
    <t>Auto plants' share of maintenance capex (5 of 11 plants)</t>
  </si>
  <si>
    <t>Proxy for the capex Auto needs to stand still; allocation by plant count (assumption)</t>
  </si>
  <si>
    <t>Digital: net digital contribution at Jun-27 run-rate — above</t>
  </si>
  <si>
    <t>Digital pays for itself (2025: −35)</t>
  </si>
  <si>
    <t>Initiatives — run-rate economics, phasing, workstreams and segment split</t>
  </si>
  <si>
    <t>Part A derives each lever's annual run-rate at June 2027 from Assumptions. Part B applies the realisation factor and phases it over the mandate. Ramps are % of annual run-rate achieved on average in the period.</t>
  </si>
  <si>
    <t>Part A — Run-rate derivation (USD m, annual at Jun-27, before realisation factor)</t>
  </si>
  <si>
    <t>Initiative</t>
  </si>
  <si>
    <t>Workstream</t>
  </si>
  <si>
    <t>Gross benefit</t>
  </si>
  <si>
    <t>Recurring cost</t>
  </si>
  <si>
    <t>One-off opex (18m)</t>
  </si>
  <si>
    <t>Capex (18m)</t>
  </si>
  <si>
    <t>Revenue added</t>
  </si>
  <si>
    <t>Realisation applies (1/0)</t>
  </si>
  <si>
    <t>How the benefit is calculated</t>
  </si>
  <si>
    <t>F1 · Master data &amp; ERP harmonisation (3 plants, in waves)</t>
  </si>
  <si>
    <t>Enabler: unlocks the 2027 inventory release, procurement analytics and any later planning automation</t>
  </si>
  <si>
    <t>F2 · Digital Value Office &amp; Chief Digital Officer</t>
  </si>
  <si>
    <t>Enabler: business-owned use cases, numeric stage-gates, value tracking</t>
  </si>
  <si>
    <t>F3 · Switch off SCP agentic layer; keep core planning tool</t>
  </si>
  <si>
    <t>Avoided SCP recurring cost (contractual, so no realisation haircut). One-off negative: remaining SCP work (3.0) avoided, net of 0.5 transition</t>
  </si>
  <si>
    <t>S1 · PdM: close the loop on current 150 machines</t>
  </si>
  <si>
    <t>W2 Maintenance</t>
  </si>
  <si>
    <t>Pilot benefit per downtime point (5.0 ÷ 3pt) × further points (9.0% → 7.5%)</t>
  </si>
  <si>
    <t>S2 · PdM: scale to +150 assets (IEM-led, gated)</t>
  </si>
  <si>
    <t>Pilot benefit per machine (5.0 ÷ 150) × assets × 70%; cost per machine (3.0 ÷ 150) × 67%</t>
  </si>
  <si>
    <t>S3 · Vision: retrain &amp; calibrate current 8 lines</t>
  </si>
  <si>
    <t>W3 Quality</t>
  </si>
  <si>
    <t>Pilot benefit per scrap point on the SAME lines (7.0 ÷ 1.2pt) × further points (4.8% → 4.2%)</t>
  </si>
  <si>
    <t>S4 · Vision + traceability: +3 Auto lines (gated)</t>
  </si>
  <si>
    <t>Pilot benefit per line (7.0 ÷ 8) × 50% haircut; cost per line (4.0 ÷ 8) × 67%. Justified mainly by OEM traceability</t>
  </si>
  <si>
    <t>N1 · Energy management &amp; optimisation</t>
  </si>
  <si>
    <t>W4 Energy &amp; process</t>
  </si>
  <si>
    <t>Segment energy spend (Ex.8) × saving %</t>
  </si>
  <si>
    <t>N2 · SMC golden-batch &amp; process control (gated)</t>
  </si>
  <si>
    <t>SMC COGS proxied at Group COGS/revenue ratio, less SMC energy &amp; labour → materials ≈ 93; × 2% yield</t>
  </si>
  <si>
    <t>N3 · Procurement spend analytics &amp; should-cost</t>
  </si>
  <si>
    <t>W5 Procurement</t>
  </si>
  <si>
    <t>(930 − 120 − 180) × 70% addressable × 1.25%</t>
  </si>
  <si>
    <t>N4 · Cost pass-through &amp; quoting (index clauses, CPQ)</t>
  </si>
  <si>
    <t>W6 Commercial &amp; back-office</t>
  </si>
  <si>
    <t>Segment revenue × price realisation (Auto 0.5%, IEM 0.5%, SMC 1.0%)</t>
  </si>
  <si>
    <t>N6 · Back-office &amp; customer-support automation</t>
  </si>
  <si>
    <t>(108 personnel + 45 selling &amp; support) × 4%</t>
  </si>
  <si>
    <t>N5 · IEM connected-service pilot ("predictive service")</t>
  </si>
  <si>
    <t>W7 Service growth</t>
  </si>
  <si>
    <t>IEM revenue × 1% service revenue × 20% margin — a growth option more than a 2027 profit driver</t>
  </si>
  <si>
    <t>O2 · Less: procurement savings passed to OEMs</t>
  </si>
  <si>
    <t>Overlap netting</t>
  </si>
  <si>
    <t>Index-linked contracts hand back part of Auto's share of N3</t>
  </si>
  <si>
    <t>O3 · Less: OEM productivity give-backs</t>
  </si>
  <si>
    <t>Share of Auto's PdM, vision and energy savings conceded in annual price-downs</t>
  </si>
  <si>
    <t xml:space="preserve">  of which gross benefit subject to realisation</t>
  </si>
  <si>
    <t xml:space="preserve">  of which gross benefit not subject to realisation</t>
  </si>
  <si>
    <t>Part B — Phasing over the mandate (Jan-26 to Jun-27) and segment split — after realisation factor</t>
  </si>
  <si>
    <t>Benefit RR</t>
  </si>
  <si>
    <t>Cost RR</t>
  </si>
  <si>
    <t>Net RR</t>
  </si>
  <si>
    <t>Ben. ramp 2026</t>
  </si>
  <si>
    <t>Ben. ramp H1-27</t>
  </si>
  <si>
    <t>Cost ramp 2026</t>
  </si>
  <si>
    <t>Cost ramp H1-27</t>
  </si>
  <si>
    <t>One-off 18m</t>
  </si>
  <si>
    <t>One-off % 2026</t>
  </si>
  <si>
    <t>Capex 18m</t>
  </si>
  <si>
    <t>Capex % 2026</t>
  </si>
  <si>
    <t>EBITDA 2026</t>
  </si>
  <si>
    <t>EBITDA H1-27</t>
  </si>
  <si>
    <t>EBITDA 18m</t>
  </si>
  <si>
    <t>Capex 2026</t>
  </si>
  <si>
    <t>Capex H1-27</t>
  </si>
  <si>
    <t>Feasibility (1–5)</t>
  </si>
  <si>
    <t>Months to value</t>
  </si>
  <si>
    <t>Split check</t>
  </si>
  <si>
    <t>Phasing rationale</t>
  </si>
  <si>
    <t>ERP cut-over in waves, months 4–16; no P&amp;L inside the window — the base for 2027+</t>
  </si>
  <si>
    <t>Stood up in month 1</t>
  </si>
  <si>
    <t>Agent layer off from April 2026 after Q1 contract review</t>
  </si>
  <si>
    <t>Work-order integration is the remaining 2026 scope; month-6 gate: ≥85% alerts closed on time</t>
  </si>
  <si>
    <t>Capex released only after the S1 gate is met</t>
  </si>
  <si>
    <t>Retraining in H1-26; month-6 gate: manual review ≤25% of flagged rejects</t>
  </si>
  <si>
    <t>Month-9 gate: S3 gate met AND named OEM programme requires traceability</t>
  </si>
  <si>
    <t>Metering first, then scheduling and set-point optimisation — starts month 1</t>
  </si>
  <si>
    <t>Funded only if SMC passes the month-6 fix-or-exit gate</t>
  </si>
  <si>
    <t>No-capex quick win: spend cube from AP data starts month 1</t>
  </si>
  <si>
    <t>Index clauses land at each OEM contract renewal; SMC/IEM quoting from month 2</t>
  </si>
  <si>
    <t>Customer-support copilot and consolidation automation; savings via attrition</t>
  </si>
  <si>
    <t>Pilot contracts signed H2-26; revenue in 2027</t>
  </si>
  <si>
    <t>Follows N3 phasing</t>
  </si>
  <si>
    <t>Follows PdM/vision/energy phasing</t>
  </si>
  <si>
    <t>Part C — Workstream view (what the deck shows)</t>
  </si>
  <si>
    <t>Check: workstream total − initiative total (should be 0)</t>
  </si>
  <si>
    <t>Part D — Working-capital release (cash only; separate from recurring EBITDA as the case requires)</t>
  </si>
  <si>
    <t>2025A</t>
  </si>
  <si>
    <t>Dec-26</t>
  </si>
  <si>
    <t>Jun-27</t>
  </si>
  <si>
    <t>Inventory days</t>
  </si>
  <si>
    <t>Inventory balance (at 2025 COGS)</t>
  </si>
  <si>
    <t>Inventory release in period</t>
  </si>
  <si>
    <t>Receivable days</t>
  </si>
  <si>
    <t>Receivables balance (at 2025 revenue)</t>
  </si>
  <si>
    <t>Receivables release in period</t>
  </si>
  <si>
    <t>Total working-capital release</t>
  </si>
  <si>
    <t>One-off cash, not EBITDA</t>
  </si>
  <si>
    <t>Projection — base (momentum) vs plan, Jan-2026 to Jun-2027</t>
  </si>
  <si>
    <t>Base = current digital scope continues and all capex requests are approved; no new initiatives. Plan = this strategy at the base-case realisation factor. RR columns annualise the June-2027 exit position.</t>
  </si>
  <si>
    <t>2026 Base</t>
  </si>
  <si>
    <t>H1-27 Base</t>
  </si>
  <si>
    <t>18m Base</t>
  </si>
  <si>
    <t>2026 Plan</t>
  </si>
  <si>
    <t>H1-27 Plan</t>
  </si>
  <si>
    <t>18m Plan</t>
  </si>
  <si>
    <t>Jun-27 RR Base</t>
  </si>
  <si>
    <t>Jun-27 RR Plan</t>
  </si>
  <si>
    <t>EBITDA 2025 (starting point)</t>
  </si>
  <si>
    <t>Revenue and underlying margin held at 2025 (Assumptions)</t>
  </si>
  <si>
    <t>One-off 2025 implementation costs rolling off (Ex.6)</t>
  </si>
  <si>
    <t>23 of 2025 temporary costs do not recur; 6 of remaining work falls in 2026. Happens in both cases — not claimed</t>
  </si>
  <si>
    <t>Initiatives, net of costs (at realisation factor)</t>
  </si>
  <si>
    <t>Initiatives Part B</t>
  </si>
  <si>
    <t>Revenue (run-rate)</t>
  </si>
  <si>
    <t>Plan adds price realisation (N4) and service revenue (N5)</t>
  </si>
  <si>
    <t>EBITDA margin (run-rate)</t>
  </si>
  <si>
    <t>Cash flow</t>
  </si>
  <si>
    <t>Interest at 2025 rate on opening debt</t>
  </si>
  <si>
    <t>Implied 2025 rate × opening debt of each period</t>
  </si>
  <si>
    <t>Refinancing premium (short-term debt rolled + new money)</t>
  </si>
  <si>
    <t>180 matures through 2026 (rolled evenly → half-year of premium in 2026), fully repriced from 2027; new money priced the same</t>
  </si>
  <si>
    <t>Losses: PBT check below</t>
  </si>
  <si>
    <t>Working-capital release (+) / build (−)</t>
  </si>
  <si>
    <t>Base: days held flat. Plan: Initiatives Part D</t>
  </si>
  <si>
    <t>Maintenance capex</t>
  </si>
  <si>
    <t>Held at 45/yr in both cases</t>
  </si>
  <si>
    <t>Upgrade &amp; expansion capex</t>
  </si>
  <si>
    <t>Plan defers expansion: no segment is capacity-constrained</t>
  </si>
  <si>
    <t>Digital capex</t>
  </si>
  <si>
    <t>Base: 30 requested. Plan: re-prioritised, stage-gated portfolio</t>
  </si>
  <si>
    <t>Total capex</t>
  </si>
  <si>
    <t>Free cash flow (before disposals and financing)</t>
  </si>
  <si>
    <t>Balance sheet (all shortfalls funded with debt; funding bridge shown below)</t>
  </si>
  <si>
    <t>Debt raised (+) / repaid (−) to hold minimum cash</t>
  </si>
  <si>
    <t>Closing debt</t>
  </si>
  <si>
    <t>Credit metrics (period / run-rate)</t>
  </si>
  <si>
    <t>Net debt / EBITDA (run-rate at period end)</t>
  </si>
  <si>
    <t>Interest cover (EBITDA / finance costs)</t>
  </si>
  <si>
    <t>Check: PBT ≈ EBITDA − D&amp;A − interest (must be &lt; 0 for zero tax)</t>
  </si>
  <si>
    <t>Lender view at Jun-27 — last twelve months (LTM) vs run-rate</t>
  </si>
  <si>
    <t>Base</t>
  </si>
  <si>
    <t>LTM EBITDA (≈ half of 2026 + H1-27)</t>
  </si>
  <si>
    <t>Conservative for the plan: in a ramp, H2-26 &gt; H1-26</t>
  </si>
  <si>
    <t>LTM net finance costs</t>
  </si>
  <si>
    <t>LTM interest cover</t>
  </si>
  <si>
    <t>What lenders test at the refinancing</t>
  </si>
  <si>
    <t>Net debt at Jun-27</t>
  </si>
  <si>
    <t>Net debt / LTM EBITDA</t>
  </si>
  <si>
    <t>Run-rate EBITDA at Jun-27</t>
  </si>
  <si>
    <t>Run-rate interest cover</t>
  </si>
  <si>
    <t>Net debt / run-rate EBITDA</t>
  </si>
  <si>
    <t>EBITDA needed for free-cash-flow break-even at run-rate</t>
  </si>
  <si>
    <t>Interest + maintenance + expansion + steady-state digital capex</t>
  </si>
  <si>
    <t>Run-rate EBITDA minus break-even EBITDA</t>
  </si>
  <si>
    <t>Negative = debt still grows after Jun-27 → balance-sheet action is required, digital alone cannot stop it</t>
  </si>
  <si>
    <t>Sources &amp; uses of cash, Jan-26 to Jun-27 (funding bridge)</t>
  </si>
  <si>
    <t>Use: free-cash-flow deficit</t>
  </si>
  <si>
    <t>Use: short-term debt falling due</t>
  </si>
  <si>
    <t>Total uses</t>
  </si>
  <si>
    <t>Source: roll over short-term debt (at premium)</t>
  </si>
  <si>
    <t>Requires lenders to believe the plan: LTM cover above 1.0x</t>
  </si>
  <si>
    <t>Source: further non-core licence disposals</t>
  </si>
  <si>
    <t>Source: sale-and-leaseback</t>
  </si>
  <si>
    <t>Source: supply-chain finance / factoring</t>
  </si>
  <si>
    <t>Source: new term debt / revolving credit (balancing)</t>
  </si>
  <si>
    <t>Genuinely new money the CEO must raise</t>
  </si>
  <si>
    <t>Total sources</t>
  </si>
  <si>
    <t>Headlines (plan vs base)</t>
  </si>
  <si>
    <t>Run-rate EBITDA uplift at Jun-27 vs base</t>
  </si>
  <si>
    <t>18-month free cash flow improvement vs base</t>
  </si>
  <si>
    <t>Net debt at Jun-27: plan minus base</t>
  </si>
  <si>
    <t>Net-debt build over 18 months: plan as % of base</t>
  </si>
  <si>
    <t>Digital &amp; analytics benefits, Jun-27 RR (2025 realised + new, excl. F3)</t>
  </si>
  <si>
    <t>Digital &amp; AI opex, Jun-27 RR (recurring + central + new − F3 saving)</t>
  </si>
  <si>
    <t>Net digital contribution, Jun-27 RR (2025: −35)</t>
  </si>
  <si>
    <t>Segments — June-2027 run-rate by business (USD m)</t>
  </si>
  <si>
    <t>Answers "where is a Group-wide approach right and where not?" and whether Auto moves out of forced-sale territory.</t>
  </si>
  <si>
    <t>Revenue 2025</t>
  </si>
  <si>
    <t>EBITDA margin 2025</t>
  </si>
  <si>
    <t>One-off implementation costs rolling off</t>
  </si>
  <si>
    <t>PdM &amp; SCP third plant is IEM; Vision third plant is SMC (Ex.7)</t>
  </si>
  <si>
    <t>Initiatives, net run-rate (incl. overlap netting)</t>
  </si>
  <si>
    <t>Net run-rate × segment split (Initiatives Part B)</t>
  </si>
  <si>
    <t>Check: Group vs Projection run-rate (should be 0)</t>
  </si>
  <si>
    <t>Revenue — Jun-27 run-rate</t>
  </si>
  <si>
    <t>Auto profitable again but below its own 11.1% (2022). Supplier benchmarks are mostly EBIT (after D&amp;A): compare like-for-like</t>
  </si>
  <si>
    <t>Margin change (pp)</t>
  </si>
  <si>
    <t>Capacity utilisation 2025 (context)</t>
  </si>
  <si>
    <t>Auto &amp; SMC are demand-constrained: downtime reduction saves cost there, adds throughput only in IEM</t>
  </si>
  <si>
    <t>SMC price realisation needed for break-even (vs 1.0% assumed)</t>
  </si>
  <si>
    <t>The month-6 fix-or-exit test</t>
  </si>
  <si>
    <t>SMC exit case (run-rate EBITDA effect only)</t>
  </si>
  <si>
    <t>SMC run-rate EBITDA removed</t>
  </si>
  <si>
    <t>Stranded central digital &amp; foundation costs left with the Group</t>
  </si>
  <si>
    <t>Excludes undisclosed corporate overhead allocated to SMC → understates the stranded cost</t>
  </si>
  <si>
    <t>Change in Group run-rate EBITDA from exiting SMC</t>
  </si>
  <si>
    <t>Close to zero: exit is not an EBITDA fix; its value is cash (working capital, capex) and management focus. Loss-making unit → minimal proceeds</t>
  </si>
  <si>
    <t>Sensitivity — how robust is the Jun-27 position?</t>
  </si>
  <si>
    <t>1. Benefit realisation (initiative benefits scaled, except contractual F3; costs unchanged)</t>
  </si>
  <si>
    <t>Downside</t>
  </si>
  <si>
    <t>Stretch</t>
  </si>
  <si>
    <t>Upside</t>
  </si>
  <si>
    <t>Benefit realisation</t>
  </si>
  <si>
    <t>Jun-27 run-rate EBITDA</t>
  </si>
  <si>
    <t>Momentum run-rate + benefits × factor − recurring costs</t>
  </si>
  <si>
    <t>Net debt / run-rate EBITDA (net debt at base-case plan)</t>
  </si>
  <si>
    <t>Approximation: holds Jun-27 net debt at the base-case plan value</t>
  </si>
  <si>
    <t>Realisation needed for run-rate interest cover of 1.5x</t>
  </si>
  <si>
    <t>Realisation needed for run-rate interest cover of 2.0x</t>
  </si>
  <si>
    <t>Above 100% → 2.0x needs balance-sheet action, not more digital</t>
  </si>
  <si>
    <t>2. One-at-a-time shocks to Jun-27 run-rate EBITDA (base-case plan)</t>
  </si>
  <si>
    <t>Shock</t>
  </si>
  <si>
    <t>Δ EBITDA</t>
  </si>
  <si>
    <t>EBITDA after</t>
  </si>
  <si>
    <t>Cover after</t>
  </si>
  <si>
    <t>Auto OEM price-down not recovered</t>
  </si>
  <si>
    <t>Each 1% ≈ 5.7 — why index-linked pass-through (N4) matters</t>
  </si>
  <si>
    <t>Auto OEM volume loss</t>
  </si>
  <si>
    <t>At 25% contribution margin; utilisation would fall further below 72%</t>
  </si>
  <si>
    <t>Energy price increase</t>
  </si>
  <si>
    <t>Energy is 120 of COGS; N1 metering and N4 index clauses partly hedge</t>
  </si>
  <si>
    <t>PdM &amp; vision scale-ups stopped at their gates</t>
  </si>
  <si>
    <t>Small: gates cap the downside</t>
  </si>
  <si>
    <t>Procurement &amp; pass-through deliver only this share</t>
  </si>
  <si>
    <t>Net of the O2 overlap</t>
  </si>
  <si>
    <t>Exit SMC</t>
  </si>
  <si>
    <t>exit</t>
  </si>
  <si>
    <t>From Segments: near-neutral on EBITDA</t>
  </si>
  <si>
    <t>Refinancing premium +200bp higher than assumed</t>
  </si>
  <si>
    <t>Interest, not EBITDA: applied to the 180 + new money</t>
  </si>
  <si>
    <t>Sources — external benchmarks (verified 30 Sep 2026)</t>
  </si>
  <si>
    <t>Case data is authoritative; benchmarks are used only to size assumptions where the case is silent.</t>
  </si>
  <si>
    <t>ID</t>
  </si>
  <si>
    <t>Benchmark (quoted from source)</t>
  </si>
  <si>
    <t>Source</t>
  </si>
  <si>
    <t>Used for</t>
  </si>
  <si>
    <t>URL</t>
  </si>
  <si>
    <t>Accessed</t>
  </si>
  <si>
    <t>B1</t>
  </si>
  <si>
    <t>Predictive maintenance typically reduces machine downtime by 30–50% and increases machine life by 20–40%</t>
  </si>
  <si>
    <t>McKinsey &amp; Company, "Manufacturing: Analytics unleashes productivity and profitability", 14 Aug 2017</t>
  </si>
  <si>
    <t>S1, S2 downtime target</t>
  </si>
  <si>
    <t>https://www.mckinsey.com/capabilities/operations/our-insights/manufacturing-analytics-unleashes-productivity-and-profitability</t>
  </si>
  <si>
    <t>30-Sep-26</t>
  </si>
  <si>
    <t>B2</t>
  </si>
  <si>
    <t>Optimised advanced process controls: up to 15% more throughput, 5% more yield, 10% less energy</t>
  </si>
  <si>
    <t>McKinsey &amp; Company, "The potential of advanced process controls in energy and materials", 23 Nov 2020</t>
  </si>
  <si>
    <t>N1 energy, N2 yield</t>
  </si>
  <si>
    <t>https://www.mckinsey.com/industries/metals-and-mining/our-insights/the-potential-of-advanced-process-controls-in-energy-and-materials</t>
  </si>
  <si>
    <t>B3</t>
  </si>
  <si>
    <t>ISO 50001-certified facilities achieve ~4.1% annual energy-performance improvement in the first year and ~3.4% after twelve years</t>
  </si>
  <si>
    <t>Fitzgerald, Therkelsen, Sheaffer, Rao (Lawrence Berkeley National Laboratory), "Deeper and persistent energy savings and CO2 reductions achieved through ISO 50001 in the manufacturing sector", 2023</t>
  </si>
  <si>
    <t>N1 energy</t>
  </si>
  <si>
    <t>https://smartersmallbuildings.lbl.gov/publications/deeper-and-persistent-energy-savings</t>
  </si>
  <si>
    <t>B4</t>
  </si>
  <si>
    <t>Reducing overall spending by 6–12% is a realistic goal in chemicals procurement</t>
  </si>
  <si>
    <t>McKinsey &amp; Company, "Technology-enabled procurement for chemical companies", 1 Oct 2019</t>
  </si>
  <si>
    <t>N3 procurement</t>
  </si>
  <si>
    <t>https://www.mckinsey.com/industries/chemicals/our-insights/technology-enabled-procurement-for-chemical-companies</t>
  </si>
  <si>
    <t>B5</t>
  </si>
  <si>
    <t>Across 1,000+ pricing-excellence initiatives, return on sales typically rises 2–7 percentage points</t>
  </si>
  <si>
    <t>McKinsey &amp; Company, "Turning pricing power into profit", 1 Mar 2015</t>
  </si>
  <si>
    <t>N4 commercial</t>
  </si>
  <si>
    <t>https://www.mckinsey.com/capabilities/growth-marketing-and-sales/our-insights/turning-pricing-power-into-profit</t>
  </si>
  <si>
    <t>B6</t>
  </si>
  <si>
    <t>Average EBIT margin for aftermarket services 25% vs 10% for new equipment (30 industries)</t>
  </si>
  <si>
    <t>McKinsey &amp; Company, "Industrial aftermarket services: Growing the core", 27 Jul 2017</t>
  </si>
  <si>
    <t>N5 service margin</t>
  </si>
  <si>
    <t>https://www.mckinsey.com/industries/industrials/our-insights/industrial-aftermarket-services-growing-the-core</t>
  </si>
  <si>
    <t>B7</t>
  </si>
  <si>
    <t>Diagnosed ~20% inventory-reduction opportunity; achieved 30% reduction with OTIF rising to 95%</t>
  </si>
  <si>
    <t>McKinsey &amp; Company, "Supply Chain 4.0: Opportunities to use your supply chain for differentiation", 24 May 2019</t>
  </si>
  <si>
    <t>Inventory days target</t>
  </si>
  <si>
    <t>https://www.mckinsey.com/capabilities/operations/our-insights/operations-blog/supply-chain-40-opportunities-to-use-your-supply-chain-for-differentiation</t>
  </si>
  <si>
    <t>B8</t>
  </si>
  <si>
    <t>Generative AI applied to customer care could increase productivity by 30–45% of current function costs</t>
  </si>
  <si>
    <t>McKinsey &amp; Company, "The economic potential of generative AI: The next productivity frontier", 14 Jun 2023</t>
  </si>
  <si>
    <t>N6 back-office &amp; support automation</t>
  </si>
  <si>
    <t>https://www.mckinsey.com/capabilities/mckinsey-digital/our-insights/the-economic-potential-of-generative-ai-the-next-productivity-frontier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</si>
</sst>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;(#,##0.0);&quot;-&quot;"/>
    <numFmt numFmtId="165" formatCode="0.0&quot;x&quot;;(0.0&quot;x&quot;);&quot;-&quot;"/>
    <numFmt numFmtId="166" formatCode="0.0%;(0.0%);&quot;-&quot;"/>
    <numFmt numFmtId="167" formatCode="#,##0.00;(#,##0.00);&quot;-&quot;"/>
    <numFmt numFmtId="168" formatCode="#,##0;(#,##0);&quot;-&quot;"/>
  </numFmts>
  <fonts count="11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color rgb="FF595959"/>
      <sz val="10"/>
      <name val="Arial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color rgb="FF008000"/>
      <sz val="10"/>
      <name val="Arial"/>
    </font>
    <font>
      <color rgb="FF0000FF"/>
      <sz val="10"/>
      <name val="Arial"/>
    </font>
    <font>
      <i/>
      <sz val="10"/>
      <name val="Arial"/>
    </font>
    <font>
      <i/>
      <color rgb="FF0000FF"/>
      <sz val="10"/>
      <name val="Arial"/>
    </font>
    <font>
      <b/>
      <color rgb="FF008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5" fillId="0" borderId="0" xfId="0" applyFont="1"/>
    <xf numFmtId="164" fontId="6" fillId="3" borderId="0" xfId="0" applyNumberFormat="1" applyFont="1" applyFill="1"/>
    <xf numFmtId="49" fontId="5" fillId="3" borderId="0" xfId="0" applyNumberFormat="1" applyFont="1" applyFill="1"/>
    <xf numFmtId="0" fontId="2" fillId="0" borderId="0" xfId="0" applyFont="1" applyAlignment="1"/>
    <xf numFmtId="165" fontId="6" fillId="3" borderId="0" xfId="0" applyNumberFormat="1" applyFont="1" applyFill="1"/>
    <xf numFmtId="164" fontId="6" fillId="0" borderId="0" xfId="0" applyNumberFormat="1" applyFont="1"/>
    <xf numFmtId="164" fontId="5" fillId="3" borderId="0" xfId="0" applyNumberFormat="1" applyFont="1" applyFill="1"/>
    <xf numFmtId="166" fontId="6" fillId="3" borderId="0" xfId="0" applyNumberFormat="1" applyFont="1" applyFill="1"/>
    <xf numFmtId="166" fontId="5" fillId="3" borderId="0" xfId="0" applyNumberFormat="1" applyFont="1" applyFill="1"/>
    <xf numFmtId="165" fontId="5" fillId="3" borderId="0" xfId="0" applyNumberFormat="1" applyFont="1" applyFill="1"/>
    <xf numFmtId="167" fontId="5" fillId="0" borderId="0" xfId="0" applyNumberFormat="1" applyFont="1"/>
    <xf numFmtId="49" fontId="5" fillId="0" borderId="0" xfId="0" applyNumberFormat="1" applyFont="1"/>
    <xf numFmtId="167" fontId="6" fillId="0" borderId="0" xfId="0" applyNumberFormat="1" applyFont="1"/>
    <xf numFmtId="164" fontId="5" fillId="0" borderId="0" xfId="0" applyNumberFormat="1" applyFont="1"/>
    <xf numFmtId="49" fontId="7" fillId="0" borderId="0" xfId="0" applyNumberFormat="1" applyFont="1"/>
    <xf numFmtId="49" fontId="6" fillId="0" borderId="0" xfId="0" applyNumberFormat="1" applyFont="1"/>
    <xf numFmtId="164" fontId="7" fillId="0" borderId="0" xfId="0" applyNumberFormat="1" applyFont="1"/>
    <xf numFmtId="0" fontId="4" fillId="0" borderId="0" xfId="0" applyFont="1"/>
    <xf numFmtId="164" fontId="4" fillId="0" borderId="2" xfId="0" applyNumberFormat="1" applyFont="1" applyBorder="1"/>
    <xf numFmtId="0" fontId="8" fillId="0" borderId="0" xfId="0" applyFont="1"/>
    <xf numFmtId="164" fontId="9" fillId="0" borderId="0" xfId="0" applyNumberFormat="1" applyFont="1"/>
    <xf numFmtId="164" fontId="8" fillId="0" borderId="0" xfId="0" applyNumberFormat="1" applyFont="1"/>
    <xf numFmtId="1" fontId="7" fillId="0" borderId="0" xfId="0" applyNumberFormat="1" applyFont="1"/>
    <xf numFmtId="166" fontId="7" fillId="0" borderId="0" xfId="0" applyNumberFormat="1" applyFont="1"/>
    <xf numFmtId="168" fontId="7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10" fillId="0" borderId="2" xfId="0" applyNumberFormat="1" applyFont="1" applyBorder="1"/>
    <xf numFmtId="164" fontId="4" fillId="3" borderId="2" xfId="0" applyNumberFormat="1" applyFont="1" applyFill="1" applyBorder="1"/>
    <xf numFmtId="165" fontId="5" fillId="0" borderId="0" xfId="0" applyNumberFormat="1" applyFont="1"/>
    <xf numFmtId="166" fontId="7" fillId="3" borderId="0" xfId="0" applyNumberFormat="1" applyFont="1" applyFill="1"/>
    <xf numFmtId="166" fontId="6" fillId="0" borderId="0" xfId="0" applyNumberFormat="1" applyFont="1"/>
    <xf numFmtId="164" fontId="7" fillId="3" borderId="0" xfId="0" applyNumberFormat="1" applyFont="1" applyFill="1"/>
    <xf numFmtId="165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 showGridLines="0"/>
  </sheetViews>
  <sheetFormatPr defaultRowHeight="15" outlineLevelRow="0" outlineLevelCol="0" x14ac:dyDescent="55"/>
  <cols>
    <col min="1" max="1" width="52" customWidth="1"/>
    <col min="2" max="2" width="10" customWidth="1"/>
    <col min="3" max="4" width="16" customWidth="1"/>
    <col min="5" max="5" width="12" customWidth="1"/>
    <col min="6" max="6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5" t="s">
        <v>3</v>
      </c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spans="1:6" x14ac:dyDescent="0.25">
      <c r="A6" s="7" t="s">
        <v>9</v>
      </c>
      <c r="B6" s="7" t="s">
        <v>10</v>
      </c>
      <c r="C6" s="8">
        <f>Assumptions!$C$91</f>
        <v>0</v>
      </c>
      <c r="D6" s="8">
        <f>Projection!$D$56</f>
        <v>-10.975519648</v>
      </c>
      <c r="E6" s="9" t="str">
        <f>IF(D6&lt;=C6,"MET","NOT MET")</f>
        <v>MET</v>
      </c>
      <c r="F6" s="10" t="s">
        <v>11</v>
      </c>
    </row>
    <row r="7" spans="1:6" x14ac:dyDescent="0.25">
      <c r="A7" s="7" t="s">
        <v>12</v>
      </c>
      <c r="B7" s="7" t="s">
        <v>13</v>
      </c>
      <c r="C7" s="11">
        <f>Assumptions!$C$92</f>
        <v>1</v>
      </c>
      <c r="D7" s="11">
        <f>Sensitivity!$C$9</f>
        <v>1.112790181</v>
      </c>
      <c r="E7" s="9" t="str">
        <f>IF(D7&gt;=C7,"MET","NOT MET")</f>
        <v>MET</v>
      </c>
      <c r="F7" s="10" t="s">
        <v>14</v>
      </c>
    </row>
    <row r="8" spans="1:6" x14ac:dyDescent="0.25">
      <c r="A8" s="7" t="s">
        <v>15</v>
      </c>
      <c r="B8" s="7" t="s">
        <v>10</v>
      </c>
      <c r="C8" s="8">
        <f>Assumptions!$C$93</f>
        <v>20.454545455</v>
      </c>
      <c r="D8" s="8">
        <f>Segments!$C$10</f>
        <v>28.68671551</v>
      </c>
      <c r="E8" s="9" t="str">
        <f>IF(D8&gt;=C8,"MET","NOT MET")</f>
        <v>MET</v>
      </c>
      <c r="F8" s="10" t="s">
        <v>16</v>
      </c>
    </row>
    <row r="9" spans="1:6" x14ac:dyDescent="0.25">
      <c r="A9" s="7" t="s">
        <v>17</v>
      </c>
      <c r="B9" s="7" t="s">
        <v>10</v>
      </c>
      <c r="C9" s="8">
        <f>Assumptions!$C$94</f>
        <v>0</v>
      </c>
      <c r="D9" s="8">
        <f>Projection!$C$67</f>
        <v>8.7284939601</v>
      </c>
      <c r="E9" s="9" t="str">
        <f>IF(D9&gt;C9,"MET","NOT MET")</f>
        <v>MET</v>
      </c>
      <c r="F9" s="10" t="s">
        <v>18</v>
      </c>
    </row>
    <row r="11" spans="1:6" x14ac:dyDescent="0.25">
      <c r="A11" s="3" t="s">
        <v>19</v>
      </c>
      <c r="B11" s="4"/>
      <c r="C11" s="4"/>
      <c r="D11" s="4"/>
      <c r="E11" s="4"/>
      <c r="F11" s="4"/>
    </row>
    <row r="12" spans="2:6" x14ac:dyDescent="0.25">
      <c r="B12" s="5" t="s">
        <v>4</v>
      </c>
      <c r="C12" s="6" t="s">
        <v>20</v>
      </c>
      <c r="D12" s="6" t="s">
        <v>6</v>
      </c>
      <c r="E12" s="6" t="s">
        <v>21</v>
      </c>
      <c r="F12" s="6" t="s">
        <v>22</v>
      </c>
    </row>
    <row r="13" spans="1:3" x14ac:dyDescent="0.25">
      <c r="A13" s="7" t="s">
        <v>23</v>
      </c>
      <c r="B13" s="7" t="s">
        <v>10</v>
      </c>
      <c r="C13" s="12">
        <f>Projection!$C$9</f>
        <v>25</v>
      </c>
    </row>
    <row r="14" spans="1:6" x14ac:dyDescent="0.25">
      <c r="A14" s="7" t="s">
        <v>24</v>
      </c>
      <c r="B14" s="7" t="s">
        <v>10</v>
      </c>
      <c r="C14" s="8">
        <f>Projection!$J$9</f>
        <v>48</v>
      </c>
      <c r="D14" s="8">
        <f>Projection!$K$9</f>
        <v>68.72849396</v>
      </c>
      <c r="E14" s="13">
        <f>D14-C14</f>
        <v>20.72849396</v>
      </c>
      <c r="F14" s="10" t="s">
        <v>25</v>
      </c>
    </row>
    <row r="15" spans="1:5" x14ac:dyDescent="0.25">
      <c r="A15" s="7" t="s">
        <v>26</v>
      </c>
      <c r="B15" s="7" t="s">
        <v>27</v>
      </c>
      <c r="C15" s="14">
        <f>Projection!$J$11</f>
        <v>0.040336134454</v>
      </c>
      <c r="D15" s="14">
        <f>Projection!$K$11</f>
        <v>0.057354698734</v>
      </c>
      <c r="E15" s="15">
        <f>D15-C15</f>
        <v>0.01701856428</v>
      </c>
    </row>
    <row r="16" spans="1:6" x14ac:dyDescent="0.25">
      <c r="A16" s="7" t="s">
        <v>28</v>
      </c>
      <c r="B16" s="7" t="s">
        <v>10</v>
      </c>
      <c r="C16" s="8">
        <f>Projection!$C$36</f>
        <v>45</v>
      </c>
      <c r="D16" s="8">
        <f>Projection!$D$36</f>
        <v>49.116934513</v>
      </c>
      <c r="E16" s="13">
        <f>D16-C16</f>
        <v>4.1169345129</v>
      </c>
      <c r="F16" s="10" t="s">
        <v>29</v>
      </c>
    </row>
    <row r="17" spans="1:6" x14ac:dyDescent="0.25">
      <c r="A17" s="7" t="s">
        <v>30</v>
      </c>
      <c r="B17" s="7" t="s">
        <v>10</v>
      </c>
      <c r="C17" s="8">
        <f>Projection!$F$23</f>
        <v>-141.73395622</v>
      </c>
      <c r="D17" s="8">
        <f>Projection!$I$23</f>
        <v>-74.024480352</v>
      </c>
      <c r="E17" s="13">
        <f>D17-C17</f>
        <v>67.709475871</v>
      </c>
      <c r="F17" s="10" t="s">
        <v>31</v>
      </c>
    </row>
    <row r="18" spans="1:6" x14ac:dyDescent="0.25">
      <c r="A18" s="7" t="s">
        <v>32</v>
      </c>
      <c r="B18" s="7" t="s">
        <v>10</v>
      </c>
      <c r="C18" s="8">
        <f>Projection!$E$28</f>
        <v>896.73395622</v>
      </c>
      <c r="D18" s="8">
        <f>Projection!$H$28</f>
        <v>829.02448035</v>
      </c>
      <c r="E18" s="13">
        <f>D18-C18</f>
        <v>-67.709475871</v>
      </c>
      <c r="F18" s="10" t="s">
        <v>33</v>
      </c>
    </row>
    <row r="19" spans="1:6" x14ac:dyDescent="0.25">
      <c r="A19" s="7" t="s">
        <v>34</v>
      </c>
      <c r="B19" s="7" t="s">
        <v>13</v>
      </c>
      <c r="C19" s="11">
        <f>Projection!$C$40</f>
        <v>19.927421249</v>
      </c>
      <c r="D19" s="11">
        <f>Projection!$D$40</f>
        <v>16.87858757</v>
      </c>
      <c r="E19" s="16">
        <f>D19-C19</f>
        <v>-3.0488336793</v>
      </c>
      <c r="F19" s="10" t="s">
        <v>35</v>
      </c>
    </row>
    <row r="20" spans="1:6" x14ac:dyDescent="0.25">
      <c r="A20" s="7" t="s">
        <v>36</v>
      </c>
      <c r="B20" s="7" t="s">
        <v>13</v>
      </c>
      <c r="C20" s="11">
        <f>Projection!$C$38</f>
        <v>0.89571534424</v>
      </c>
      <c r="D20" s="11">
        <f>Projection!$D$38</f>
        <v>1.0079719494</v>
      </c>
      <c r="E20" s="16">
        <f>D20-C20</f>
        <v>0.11225660519</v>
      </c>
      <c r="F20" s="10" t="s">
        <v>37</v>
      </c>
    </row>
    <row r="21" spans="1:5" x14ac:dyDescent="0.25">
      <c r="A21" s="7" t="s">
        <v>38</v>
      </c>
      <c r="B21" s="7" t="s">
        <v>13</v>
      </c>
      <c r="C21" s="11">
        <f>Projection!$C$42</f>
        <v>0.80567895837</v>
      </c>
      <c r="D21" s="11">
        <f>Projection!$D$42</f>
        <v>1.2751550314</v>
      </c>
      <c r="E21" s="16">
        <f>D21-C21</f>
        <v>0.46947607304</v>
      </c>
    </row>
    <row r="22" spans="1:6" x14ac:dyDescent="0.25">
      <c r="A22" s="7" t="s">
        <v>39</v>
      </c>
      <c r="B22" s="7" t="s">
        <v>10</v>
      </c>
      <c r="C22" s="8">
        <f>Projection!$C$56</f>
        <v>56.733956223</v>
      </c>
      <c r="D22" s="8">
        <f>Projection!$D$56</f>
        <v>-10.975519648</v>
      </c>
      <c r="E22" s="13">
        <f>D22-C22</f>
        <v>-67.709475871</v>
      </c>
      <c r="F22" s="10" t="s">
        <v>40</v>
      </c>
    </row>
    <row r="23" spans="1:6" x14ac:dyDescent="0.25">
      <c r="A23" s="7" t="s">
        <v>41</v>
      </c>
      <c r="B23" s="7" t="s">
        <v>10</v>
      </c>
      <c r="C23" s="8">
        <f>Projection!$C$45</f>
        <v>-91.577080301</v>
      </c>
      <c r="D23" s="8">
        <f>Projection!$D$45</f>
        <v>-50.169653533</v>
      </c>
      <c r="E23" s="13">
        <f>D23-C23</f>
        <v>41.407426768</v>
      </c>
      <c r="F23" s="10" t="s">
        <v>42</v>
      </c>
    </row>
    <row r="24" spans="1:6" x14ac:dyDescent="0.25">
      <c r="A24" s="7" t="s">
        <v>43</v>
      </c>
      <c r="B24" s="7" t="s">
        <v>27</v>
      </c>
      <c r="D24" s="14">
        <f>Segments!$C$13</f>
        <v>0.050139547767</v>
      </c>
      <c r="F24" s="10" t="s">
        <v>44</v>
      </c>
    </row>
    <row r="25" spans="1:6" x14ac:dyDescent="0.25">
      <c r="A25" s="7" t="s">
        <v>45</v>
      </c>
      <c r="B25" s="7" t="s">
        <v>10</v>
      </c>
      <c r="C25" s="8">
        <f>Diagnosis!$C$61</f>
        <v>-35</v>
      </c>
      <c r="D25" s="8">
        <f>Projection!$C$67</f>
        <v>8.7284939601</v>
      </c>
      <c r="E25" s="13">
        <f>D25-C25</f>
        <v>43.72849396</v>
      </c>
      <c r="F25" s="10" t="s">
        <v>46</v>
      </c>
    </row>
    <row r="26" spans="1:6" x14ac:dyDescent="0.25">
      <c r="A26" s="7" t="s">
        <v>47</v>
      </c>
      <c r="B26" s="7" t="s">
        <v>10</v>
      </c>
      <c r="C26" s="12">
        <f>Sensitivity!$E$6</f>
        <v>77.479658613</v>
      </c>
      <c r="D26" s="12">
        <f>Sensitivity!$C$6</f>
        <v>59.977329307</v>
      </c>
      <c r="F26" s="10" t="s">
        <v>48</v>
      </c>
    </row>
    <row r="28" spans="1:6" x14ac:dyDescent="0.25">
      <c r="A28" s="3" t="s">
        <v>49</v>
      </c>
      <c r="B28" s="4"/>
      <c r="C28" s="4"/>
      <c r="D28" s="4"/>
      <c r="E28" s="4"/>
      <c r="F28" s="4"/>
    </row>
    <row r="29" spans="1:4" x14ac:dyDescent="0.25">
      <c r="A29" s="5" t="s">
        <v>50</v>
      </c>
      <c r="C29" s="6" t="s">
        <v>51</v>
      </c>
      <c r="D29" s="6" t="s">
        <v>52</v>
      </c>
    </row>
    <row r="30" spans="1:4" x14ac:dyDescent="0.25">
      <c r="A30" s="7" t="s">
        <v>53</v>
      </c>
      <c r="C30" s="17">
        <f>ABS(Case_Financials!$C$50)+ABS(Case_Financials!$D$50)+ABS(Case_Financials!$E$50)+ABS(Case_Financials!$F$50)</f>
        <v>0</v>
      </c>
      <c r="D30" s="18" t="str">
        <f>IF(ABS(C30)&lt;0.001,"OK","CHECK")</f>
        <v>OK</v>
      </c>
    </row>
    <row r="31" spans="1:4" x14ac:dyDescent="0.25">
      <c r="A31" s="7" t="s">
        <v>54</v>
      </c>
      <c r="C31" s="17">
        <f>ABS(Case_Financials!$C$10-Case_Financials!$C$17)+ABS(Case_Financials!$D$10-Case_Financials!$D$17)+ABS(Case_Financials!$E$10-Case_Financials!$E$17)+ABS(Case_Financials!$F$10-Case_Financials!$F$17)</f>
        <v>0</v>
      </c>
      <c r="D31" s="18" t="str">
        <f>IF(ABS(C31)&lt;0.001,"OK","CHECK")</f>
        <v>OK</v>
      </c>
    </row>
    <row r="32" spans="1:4" x14ac:dyDescent="0.25">
      <c r="A32" s="7" t="s">
        <v>55</v>
      </c>
      <c r="C32" s="17">
        <f>ABS(Case_Financials!$C$16-Case_Financials!$C$18)+ABS(Case_Financials!$D$16-Case_Financials!$D$18)+ABS(Case_Financials!$E$16-Case_Financials!$E$18)+ABS(Case_Financials!$F$16-Case_Financials!$F$18)</f>
        <v>0</v>
      </c>
      <c r="D32" s="18" t="str">
        <f>IF(ABS(C32)&lt;0.001,"OK","CHECK")</f>
        <v>OK</v>
      </c>
    </row>
    <row r="33" spans="1:4" x14ac:dyDescent="0.25">
      <c r="A33" s="7" t="s">
        <v>56</v>
      </c>
      <c r="C33" s="17">
        <f>ABS(Case_Financials!$C$9-Case_Financials!$C$26)+ABS(Case_Financials!$D$9-Case_Financials!$D$26)+ABS(Case_Financials!$E$9-Case_Financials!$E$26)+ABS(Case_Financials!$F$9-Case_Financials!$F$26)</f>
        <v>0</v>
      </c>
      <c r="D33" s="18" t="str">
        <f>IF(ABS(C33)&lt;0.001,"OK","CHECK")</f>
        <v>OK</v>
      </c>
    </row>
    <row r="34" spans="1:4" x14ac:dyDescent="0.25">
      <c r="A34" s="7" t="s">
        <v>57</v>
      </c>
      <c r="C34" s="17">
        <f>ABS(Case_Financials!$C$57-Case_Financials!$C$6)+ABS(Case_Financials!$C$61-Case_Financials!$C$10)+ABS(Case_Financials!$D$57-Case_Financials!$D$6)+ABS(Case_Financials!$D$61-Case_Financials!$D$10)+ABS(Case_Financials!$E$57-Case_Financials!$E$6)+ABS(Case_Financials!$E$61-Case_Financials!$E$10)+ABS(Case_Financials!$F$57-Case_Financials!$F$6)+ABS(Case_Financials!$F$61-Case_Financials!$F$10)</f>
        <v>0</v>
      </c>
      <c r="D34" s="18" t="str">
        <f>IF(ABS(C34)&lt;0.001,"OK","CHECK")</f>
        <v>OK</v>
      </c>
    </row>
    <row r="35" spans="1:4" x14ac:dyDescent="0.25">
      <c r="A35" s="7" t="s">
        <v>58</v>
      </c>
      <c r="C35" s="17">
        <f>ABS(Case_Financials!$D$81)+ABS(Case_Financials!$E$81)+ABS(Case_Financials!$F$81)</f>
        <v>0</v>
      </c>
      <c r="D35" s="18" t="str">
        <f>IF(ABS(C35)&lt;0.001,"OK","CHECK")</f>
        <v>OK</v>
      </c>
    </row>
    <row r="36" spans="1:4" x14ac:dyDescent="0.25">
      <c r="A36" s="7" t="s">
        <v>59</v>
      </c>
      <c r="C36" s="17">
        <f>ABS(Case_Financials!$D$82)+ABS(Case_Financials!$E$82)+ABS(Case_Financials!$F$82)</f>
        <v>0</v>
      </c>
      <c r="D36" s="18" t="str">
        <f>IF(ABS(C36)&lt;0.001,"OK","CHECK")</f>
        <v>OK</v>
      </c>
    </row>
    <row r="37" spans="1:4" x14ac:dyDescent="0.25">
      <c r="A37" s="7" t="s">
        <v>60</v>
      </c>
      <c r="C37" s="17">
        <f>ABS(Case_Financials!$D$86)+ABS(Case_Financials!$E$86)+ABS(Case_Financials!$F$86)</f>
        <v>0</v>
      </c>
      <c r="D37" s="18" t="str">
        <f>IF(ABS(C37)&lt;0.001,"OK","CHECK")</f>
        <v>OK</v>
      </c>
    </row>
    <row r="38" spans="1:4" x14ac:dyDescent="0.25">
      <c r="A38" s="7" t="s">
        <v>61</v>
      </c>
      <c r="C38" s="17">
        <f>ABS(Diagnosis!$D$20)+ABS(Diagnosis!$E$20)+ABS(Diagnosis!$F$20)</f>
        <v>0</v>
      </c>
      <c r="D38" s="18" t="str">
        <f>IF(ABS(C38)&lt;0.001,"OK","CHECK")</f>
        <v>OK</v>
      </c>
    </row>
    <row r="39" spans="1:4" x14ac:dyDescent="0.25">
      <c r="A39" s="7" t="s">
        <v>62</v>
      </c>
      <c r="C39" s="17">
        <f>ABS(Case_Digital!$C$24)+ABS(Case_Digital!$D$24)+ABS(Case_Digital!$E$24)</f>
        <v>0</v>
      </c>
      <c r="D39" s="18" t="str">
        <f>IF(ABS(C39)&lt;0.001,"OK","CHECK")</f>
        <v>OK</v>
      </c>
    </row>
    <row r="40" spans="1:4" x14ac:dyDescent="0.25">
      <c r="A40" s="7" t="s">
        <v>63</v>
      </c>
      <c r="C40" s="19">
        <f>Diagnosis!$C$60</f>
        <v>0</v>
      </c>
      <c r="D40" s="18" t="str">
        <f>IF(ABS(C40)&lt;0.001,"OK","CHECK")</f>
        <v>OK</v>
      </c>
    </row>
    <row r="41" spans="1:4" x14ac:dyDescent="0.25">
      <c r="A41" s="7" t="s">
        <v>64</v>
      </c>
      <c r="C41" s="19">
        <f>Diagnosis!$C$42</f>
        <v>0</v>
      </c>
      <c r="D41" s="18" t="str">
        <f>IF(ABS(C41)&lt;0.001,"OK","CHECK")</f>
        <v>OK</v>
      </c>
    </row>
    <row r="42" spans="1:4" x14ac:dyDescent="0.25">
      <c r="A42" s="7" t="s">
        <v>65</v>
      </c>
      <c r="C42" s="17">
        <f>SUM(Initiatives!$X$27:$X$41)-ROWS(Initiatives!$X$27:$X$41)</f>
        <v>0</v>
      </c>
      <c r="D42" s="18" t="str">
        <f>IF(ABS(C42)&lt;0.001,"OK","CHECK")</f>
        <v>OK</v>
      </c>
    </row>
    <row r="43" spans="1:4" x14ac:dyDescent="0.25">
      <c r="A43" s="7" t="s">
        <v>66</v>
      </c>
      <c r="C43" s="19">
        <f>Initiatives!$C$55</f>
        <v>0</v>
      </c>
      <c r="D43" s="18" t="str">
        <f>IF(ABS(C43)&lt;0.001,"OK","CHECK")</f>
        <v>OK</v>
      </c>
    </row>
    <row r="44" spans="1:4" x14ac:dyDescent="0.25">
      <c r="A44" s="7" t="s">
        <v>67</v>
      </c>
      <c r="C44" s="19">
        <f>Segments!$F$11</f>
        <v>0</v>
      </c>
      <c r="D44" s="18" t="str">
        <f>IF(ABS(C44)&lt;0.001,"OK","CHECK")</f>
        <v>OK</v>
      </c>
    </row>
    <row r="45" spans="1:4" x14ac:dyDescent="0.25">
      <c r="A45" s="7" t="s">
        <v>68</v>
      </c>
      <c r="C45" s="17">
        <f>Projection!$D$57-Projection!$D$51</f>
        <v>0</v>
      </c>
      <c r="D45" s="18" t="str">
        <f>IF(ABS(C45)&lt;0.001,"OK","CHECK")</f>
        <v>OK</v>
      </c>
    </row>
    <row r="46" spans="1:6" x14ac:dyDescent="0.25">
      <c r="A46" s="7" t="s">
        <v>69</v>
      </c>
      <c r="C46" s="20">
        <f>MAX(Projection!$D$32:$K$32)</f>
        <v>-43.767090944</v>
      </c>
      <c r="D46" s="18" t="str">
        <f>IF(C46&lt;0,"OK","CHECK")</f>
        <v>OK</v>
      </c>
      <c r="F46" s="10" t="s">
        <v>70</v>
      </c>
    </row>
    <row r="48" spans="1:6" x14ac:dyDescent="0.25">
      <c r="A48" s="3" t="s">
        <v>71</v>
      </c>
      <c r="B48" s="4"/>
      <c r="C48" s="4"/>
      <c r="D48" s="4"/>
      <c r="E48" s="4"/>
      <c r="F48" s="4"/>
    </row>
    <row r="49" spans="1:3" x14ac:dyDescent="0.25">
      <c r="A49" s="7" t="s">
        <v>72</v>
      </c>
      <c r="C49" s="21" t="s">
        <v>73</v>
      </c>
    </row>
    <row r="50" spans="1:3" x14ac:dyDescent="0.25">
      <c r="A50" s="7" t="s">
        <v>74</v>
      </c>
      <c r="C50" s="18" t="s">
        <v>75</v>
      </c>
    </row>
    <row r="51" spans="1:3" x14ac:dyDescent="0.25">
      <c r="A51" s="7" t="s">
        <v>76</v>
      </c>
      <c r="C51" s="22" t="s">
        <v>77</v>
      </c>
    </row>
    <row r="52" spans="1:3" x14ac:dyDescent="0.25">
      <c r="A52" s="7" t="s">
        <v>78</v>
      </c>
      <c r="C52" s="9" t="s">
        <v>79</v>
      </c>
    </row>
    <row r="54" spans="1:6" x14ac:dyDescent="0.25">
      <c r="A54" s="3" t="s">
        <v>80</v>
      </c>
      <c r="B54" s="4"/>
      <c r="C54" s="4"/>
      <c r="D54" s="4"/>
      <c r="E54" s="4"/>
      <c r="F54" s="4"/>
    </row>
    <row r="55" spans="1:3" x14ac:dyDescent="0.25">
      <c r="A55" s="7" t="s">
        <v>81</v>
      </c>
      <c r="C55" s="18" t="s">
        <v>82</v>
      </c>
    </row>
    <row r="56" spans="1:3" x14ac:dyDescent="0.25">
      <c r="A56" s="7" t="s">
        <v>83</v>
      </c>
      <c r="C56" s="18" t="s">
        <v>84</v>
      </c>
    </row>
    <row r="57" spans="1:3" x14ac:dyDescent="0.25">
      <c r="A57" s="7" t="s">
        <v>85</v>
      </c>
      <c r="C57" s="18" t="s">
        <v>86</v>
      </c>
    </row>
    <row r="58" spans="1:3" x14ac:dyDescent="0.25">
      <c r="A58" s="7" t="s">
        <v>87</v>
      </c>
      <c r="C58" s="18" t="s">
        <v>88</v>
      </c>
    </row>
    <row r="59" spans="1:3" x14ac:dyDescent="0.25">
      <c r="A59" s="7" t="s">
        <v>89</v>
      </c>
      <c r="C59" s="18" t="s">
        <v>90</v>
      </c>
    </row>
    <row r="60" spans="1:3" x14ac:dyDescent="0.25">
      <c r="A60" s="7" t="s">
        <v>91</v>
      </c>
      <c r="C60" s="18" t="s">
        <v>92</v>
      </c>
    </row>
    <row r="61" spans="1:3" x14ac:dyDescent="0.25">
      <c r="A61" s="7" t="s">
        <v>93</v>
      </c>
      <c r="C61" s="18" t="s">
        <v>94</v>
      </c>
    </row>
    <row r="62" spans="1:3" x14ac:dyDescent="0.25">
      <c r="A62" s="7" t="s">
        <v>95</v>
      </c>
      <c r="C62" s="18" t="s">
        <v>96</v>
      </c>
    </row>
    <row r="63" spans="1:3" x14ac:dyDescent="0.25">
      <c r="A63" s="7" t="s">
        <v>97</v>
      </c>
      <c r="C63" s="18" t="s">
        <v>98</v>
      </c>
    </row>
    <row r="64" spans="1:3" x14ac:dyDescent="0.25">
      <c r="A64" s="7" t="s">
        <v>99</v>
      </c>
      <c r="C64" s="18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8" customWidth="1"/>
    <col min="3" max="6" width="11" customWidth="1"/>
    <col min="7" max="7" width="70" customWidth="1"/>
  </cols>
  <sheetData>
    <row r="1" spans="1:1" x14ac:dyDescent="0.25">
      <c r="A1" s="1" t="s">
        <v>101</v>
      </c>
    </row>
    <row r="2" spans="1:1" x14ac:dyDescent="0.25">
      <c r="A2" s="2" t="s">
        <v>102</v>
      </c>
    </row>
    <row r="4" spans="1:7" x14ac:dyDescent="0.25">
      <c r="A4" s="3" t="s">
        <v>103</v>
      </c>
      <c r="B4" s="4"/>
      <c r="C4" s="4"/>
      <c r="D4" s="4"/>
      <c r="E4" s="4"/>
      <c r="F4" s="4"/>
      <c r="G4" s="4"/>
    </row>
    <row r="5" spans="1:7" x14ac:dyDescent="0.25">
      <c r="A5" s="5" t="s">
        <v>10</v>
      </c>
      <c r="C5" s="6" t="s">
        <v>104</v>
      </c>
      <c r="D5" s="6" t="s">
        <v>105</v>
      </c>
      <c r="E5" s="6" t="s">
        <v>106</v>
      </c>
      <c r="F5" s="6" t="s">
        <v>107</v>
      </c>
      <c r="G5" s="6" t="s">
        <v>108</v>
      </c>
    </row>
    <row r="6" spans="1:7" x14ac:dyDescent="0.25">
      <c r="A6" s="7" t="s">
        <v>109</v>
      </c>
      <c r="C6" s="23">
        <v>1150</v>
      </c>
      <c r="D6" s="23">
        <v>1205</v>
      </c>
      <c r="E6" s="23">
        <v>1230</v>
      </c>
      <c r="F6" s="23">
        <v>1190</v>
      </c>
      <c r="G6" s="10" t="s">
        <v>110</v>
      </c>
    </row>
    <row r="7" spans="1:7" x14ac:dyDescent="0.25">
      <c r="A7" s="7" t="s">
        <v>111</v>
      </c>
      <c r="C7" s="23">
        <v>860</v>
      </c>
      <c r="D7" s="23">
        <v>910</v>
      </c>
      <c r="E7" s="23">
        <v>945</v>
      </c>
      <c r="F7" s="23">
        <v>930</v>
      </c>
      <c r="G7" s="10" t="s">
        <v>112</v>
      </c>
    </row>
    <row r="8" spans="1:6" x14ac:dyDescent="0.25">
      <c r="A8" s="24" t="s">
        <v>113</v>
      </c>
      <c r="C8" s="25">
        <f>C6-C7</f>
        <v>290</v>
      </c>
      <c r="D8" s="25">
        <f>D6-D7</f>
        <v>295</v>
      </c>
      <c r="E8" s="25">
        <f>E6-E7</f>
        <v>285</v>
      </c>
      <c r="F8" s="25">
        <f>F6-F7</f>
        <v>260</v>
      </c>
    </row>
    <row r="9" spans="1:7" x14ac:dyDescent="0.25">
      <c r="A9" s="7" t="s">
        <v>114</v>
      </c>
      <c r="C9" s="20">
        <f>SUM(C22:C25)</f>
        <v>168</v>
      </c>
      <c r="D9" s="20">
        <f>SUM(D22:D25)</f>
        <v>187</v>
      </c>
      <c r="E9" s="20">
        <f>SUM(E22:E25)</f>
        <v>215</v>
      </c>
      <c r="F9" s="20">
        <f>SUM(F22:F25)</f>
        <v>235</v>
      </c>
      <c r="G9" s="10" t="s">
        <v>115</v>
      </c>
    </row>
    <row r="10" spans="1:6" x14ac:dyDescent="0.25">
      <c r="A10" s="24" t="s">
        <v>116</v>
      </c>
      <c r="C10" s="25">
        <f>C8-C9</f>
        <v>122</v>
      </c>
      <c r="D10" s="25">
        <f>D8-D9</f>
        <v>108</v>
      </c>
      <c r="E10" s="25">
        <f>E8-E9</f>
        <v>70</v>
      </c>
      <c r="F10" s="25">
        <f>F8-F9</f>
        <v>25</v>
      </c>
    </row>
    <row r="11" spans="1:7" x14ac:dyDescent="0.25">
      <c r="A11" s="7" t="s">
        <v>117</v>
      </c>
      <c r="C11" s="23">
        <v>58</v>
      </c>
      <c r="D11" s="23">
        <v>66</v>
      </c>
      <c r="E11" s="23">
        <v>78</v>
      </c>
      <c r="F11" s="23">
        <v>90</v>
      </c>
      <c r="G11" s="10" t="s">
        <v>110</v>
      </c>
    </row>
    <row r="12" spans="1:6" x14ac:dyDescent="0.25">
      <c r="A12" s="7" t="s">
        <v>118</v>
      </c>
      <c r="C12" s="20">
        <f>C10-C11</f>
        <v>64</v>
      </c>
      <c r="D12" s="20">
        <f>D10-D11</f>
        <v>42</v>
      </c>
      <c r="E12" s="20">
        <f>E10-E11</f>
        <v>-8</v>
      </c>
      <c r="F12" s="20">
        <f>F10-F11</f>
        <v>-65</v>
      </c>
    </row>
    <row r="13" spans="1:7" x14ac:dyDescent="0.25">
      <c r="A13" s="7" t="s">
        <v>119</v>
      </c>
      <c r="C13" s="23">
        <v>24</v>
      </c>
      <c r="D13" s="23">
        <v>27</v>
      </c>
      <c r="E13" s="23">
        <v>33</v>
      </c>
      <c r="F13" s="23">
        <v>40</v>
      </c>
      <c r="G13" s="10" t="s">
        <v>120</v>
      </c>
    </row>
    <row r="14" spans="1:6" x14ac:dyDescent="0.25">
      <c r="A14" s="7" t="s">
        <v>121</v>
      </c>
      <c r="C14" s="20">
        <f>C12-C13</f>
        <v>40</v>
      </c>
      <c r="D14" s="20">
        <f>D12-D13</f>
        <v>15</v>
      </c>
      <c r="E14" s="20">
        <f>E12-E13</f>
        <v>-41</v>
      </c>
      <c r="F14" s="20">
        <f>F12-F13</f>
        <v>-105</v>
      </c>
    </row>
    <row r="15" spans="1:7" x14ac:dyDescent="0.25">
      <c r="A15" s="7" t="s">
        <v>122</v>
      </c>
      <c r="C15" s="23">
        <v>10</v>
      </c>
      <c r="D15" s="23">
        <v>4</v>
      </c>
      <c r="E15" s="23">
        <v>0</v>
      </c>
      <c r="F15" s="23">
        <v>0</v>
      </c>
      <c r="G15" s="10" t="s">
        <v>123</v>
      </c>
    </row>
    <row r="16" spans="1:6" x14ac:dyDescent="0.25">
      <c r="A16" s="24" t="s">
        <v>124</v>
      </c>
      <c r="C16" s="25">
        <f>C14-C15</f>
        <v>30</v>
      </c>
      <c r="D16" s="25">
        <f>D14-D15</f>
        <v>11</v>
      </c>
      <c r="E16" s="25">
        <f>E14-E15</f>
        <v>-41</v>
      </c>
      <c r="F16" s="25">
        <f>F14-F15</f>
        <v>-105</v>
      </c>
    </row>
    <row r="17" spans="1:7" x14ac:dyDescent="0.25">
      <c r="A17" s="26" t="s">
        <v>125</v>
      </c>
      <c r="C17" s="27">
        <v>122</v>
      </c>
      <c r="D17" s="27">
        <v>108</v>
      </c>
      <c r="E17" s="27">
        <v>70</v>
      </c>
      <c r="F17" s="27">
        <v>25</v>
      </c>
      <c r="G17" s="10" t="s">
        <v>126</v>
      </c>
    </row>
    <row r="18" spans="1:7" x14ac:dyDescent="0.25">
      <c r="A18" s="26" t="s">
        <v>127</v>
      </c>
      <c r="C18" s="27">
        <v>30</v>
      </c>
      <c r="D18" s="27">
        <v>11</v>
      </c>
      <c r="E18" s="27">
        <v>-41</v>
      </c>
      <c r="F18" s="27">
        <v>-105</v>
      </c>
      <c r="G18" s="10" t="s">
        <v>126</v>
      </c>
    </row>
    <row r="20" spans="1:7" x14ac:dyDescent="0.25">
      <c r="A20" s="3" t="s">
        <v>128</v>
      </c>
      <c r="B20" s="4"/>
      <c r="C20" s="4"/>
      <c r="D20" s="4"/>
      <c r="E20" s="4"/>
      <c r="F20" s="4"/>
      <c r="G20" s="4"/>
    </row>
    <row r="21" spans="1:6" x14ac:dyDescent="0.25">
      <c r="A21" s="5" t="s">
        <v>10</v>
      </c>
      <c r="C21" s="6" t="s">
        <v>104</v>
      </c>
      <c r="D21" s="6" t="s">
        <v>105</v>
      </c>
      <c r="E21" s="6" t="s">
        <v>106</v>
      </c>
      <c r="F21" s="6" t="s">
        <v>107</v>
      </c>
    </row>
    <row r="22" spans="1:7" x14ac:dyDescent="0.25">
      <c r="A22" s="7" t="s">
        <v>129</v>
      </c>
      <c r="C22" s="23">
        <v>90</v>
      </c>
      <c r="D22" s="23">
        <v>95</v>
      </c>
      <c r="E22" s="23">
        <v>101</v>
      </c>
      <c r="F22" s="23">
        <v>108</v>
      </c>
      <c r="G22" s="10" t="s">
        <v>110</v>
      </c>
    </row>
    <row r="23" spans="1:7" x14ac:dyDescent="0.25">
      <c r="A23" s="7" t="s">
        <v>130</v>
      </c>
      <c r="C23" s="23">
        <v>35</v>
      </c>
      <c r="D23" s="23">
        <v>38</v>
      </c>
      <c r="E23" s="23">
        <v>42</v>
      </c>
      <c r="F23" s="23">
        <v>45</v>
      </c>
      <c r="G23" s="10" t="s">
        <v>110</v>
      </c>
    </row>
    <row r="24" spans="1:7" x14ac:dyDescent="0.25">
      <c r="A24" s="7" t="s">
        <v>131</v>
      </c>
      <c r="C24" s="23">
        <v>8</v>
      </c>
      <c r="D24" s="23">
        <v>18</v>
      </c>
      <c r="E24" s="23">
        <v>35</v>
      </c>
      <c r="F24" s="23">
        <v>48</v>
      </c>
      <c r="G24" s="10" t="s">
        <v>132</v>
      </c>
    </row>
    <row r="25" spans="1:7" x14ac:dyDescent="0.25">
      <c r="A25" s="7" t="s">
        <v>133</v>
      </c>
      <c r="C25" s="23">
        <v>35</v>
      </c>
      <c r="D25" s="23">
        <v>36</v>
      </c>
      <c r="E25" s="23">
        <v>37</v>
      </c>
      <c r="F25" s="23">
        <v>34</v>
      </c>
      <c r="G25" s="10" t="s">
        <v>110</v>
      </c>
    </row>
    <row r="26" spans="1:7" x14ac:dyDescent="0.25">
      <c r="A26" s="26" t="s">
        <v>134</v>
      </c>
      <c r="C26" s="27">
        <v>168</v>
      </c>
      <c r="D26" s="27">
        <v>187</v>
      </c>
      <c r="E26" s="27">
        <v>215</v>
      </c>
      <c r="F26" s="27">
        <v>235</v>
      </c>
      <c r="G26" s="10" t="s">
        <v>126</v>
      </c>
    </row>
    <row r="28" spans="1:7" x14ac:dyDescent="0.25">
      <c r="A28" s="3" t="s">
        <v>135</v>
      </c>
      <c r="B28" s="4"/>
      <c r="C28" s="4"/>
      <c r="D28" s="4"/>
      <c r="E28" s="4"/>
      <c r="F28" s="4"/>
      <c r="G28" s="4"/>
    </row>
    <row r="29" spans="1:6" x14ac:dyDescent="0.25">
      <c r="A29" s="5" t="s">
        <v>10</v>
      </c>
      <c r="C29" s="6" t="s">
        <v>104</v>
      </c>
      <c r="D29" s="6" t="s">
        <v>105</v>
      </c>
      <c r="E29" s="6" t="s">
        <v>106</v>
      </c>
      <c r="F29" s="6" t="s">
        <v>107</v>
      </c>
    </row>
    <row r="30" spans="1:7" x14ac:dyDescent="0.25">
      <c r="A30" s="7" t="s">
        <v>136</v>
      </c>
      <c r="C30" s="23">
        <v>90</v>
      </c>
      <c r="D30" s="23">
        <v>75</v>
      </c>
      <c r="E30" s="23">
        <v>55</v>
      </c>
      <c r="F30" s="23">
        <v>30</v>
      </c>
      <c r="G30" s="10" t="s">
        <v>137</v>
      </c>
    </row>
    <row r="31" spans="1:7" x14ac:dyDescent="0.25">
      <c r="A31" s="7" t="s">
        <v>138</v>
      </c>
      <c r="C31" s="23">
        <v>150</v>
      </c>
      <c r="D31" s="23">
        <v>158</v>
      </c>
      <c r="E31" s="23">
        <v>168</v>
      </c>
      <c r="F31" s="23">
        <v>172</v>
      </c>
      <c r="G31" s="10" t="s">
        <v>137</v>
      </c>
    </row>
    <row r="32" spans="1:7" x14ac:dyDescent="0.25">
      <c r="A32" s="7" t="s">
        <v>139</v>
      </c>
      <c r="C32" s="23">
        <v>205</v>
      </c>
      <c r="D32" s="23">
        <v>220</v>
      </c>
      <c r="E32" s="23">
        <v>240</v>
      </c>
      <c r="F32" s="23">
        <v>255</v>
      </c>
      <c r="G32" s="10" t="s">
        <v>137</v>
      </c>
    </row>
    <row r="33" spans="1:7" x14ac:dyDescent="0.25">
      <c r="A33" s="7" t="s">
        <v>140</v>
      </c>
      <c r="C33" s="23">
        <v>38</v>
      </c>
      <c r="D33" s="23">
        <v>40</v>
      </c>
      <c r="E33" s="23">
        <v>43</v>
      </c>
      <c r="F33" s="23">
        <v>45</v>
      </c>
      <c r="G33" s="10" t="s">
        <v>137</v>
      </c>
    </row>
    <row r="34" spans="1:6" x14ac:dyDescent="0.25">
      <c r="A34" s="24" t="s">
        <v>141</v>
      </c>
      <c r="C34" s="25">
        <f>SUM(C30:C33)</f>
        <v>483</v>
      </c>
      <c r="D34" s="25">
        <f>SUM(D30:D33)</f>
        <v>493</v>
      </c>
      <c r="E34" s="25">
        <f>SUM(E30:E33)</f>
        <v>506</v>
      </c>
      <c r="F34" s="25">
        <f>SUM(F30:F33)</f>
        <v>502</v>
      </c>
    </row>
    <row r="35" spans="1:7" x14ac:dyDescent="0.25">
      <c r="A35" s="7" t="s">
        <v>142</v>
      </c>
      <c r="C35" s="23">
        <v>590</v>
      </c>
      <c r="D35" s="23">
        <v>630</v>
      </c>
      <c r="E35" s="23">
        <v>660</v>
      </c>
      <c r="F35" s="23">
        <v>680</v>
      </c>
      <c r="G35" s="10" t="s">
        <v>137</v>
      </c>
    </row>
    <row r="36" spans="1:7" x14ac:dyDescent="0.25">
      <c r="A36" s="7" t="s">
        <v>143</v>
      </c>
      <c r="C36" s="23">
        <v>65</v>
      </c>
      <c r="D36" s="23">
        <v>100</v>
      </c>
      <c r="E36" s="23">
        <v>135</v>
      </c>
      <c r="F36" s="23">
        <v>155</v>
      </c>
      <c r="G36" s="10" t="s">
        <v>144</v>
      </c>
    </row>
    <row r="37" spans="1:7" x14ac:dyDescent="0.25">
      <c r="A37" s="7" t="s">
        <v>145</v>
      </c>
      <c r="C37" s="23">
        <v>192</v>
      </c>
      <c r="D37" s="23">
        <v>191</v>
      </c>
      <c r="E37" s="23">
        <v>159</v>
      </c>
      <c r="F37" s="23">
        <v>113</v>
      </c>
      <c r="G37" s="10" t="s">
        <v>137</v>
      </c>
    </row>
    <row r="38" spans="1:6" x14ac:dyDescent="0.25">
      <c r="A38" s="24" t="s">
        <v>146</v>
      </c>
      <c r="C38" s="25">
        <f>SUM(C35:C37)</f>
        <v>847</v>
      </c>
      <c r="D38" s="25">
        <f>SUM(D35:D37)</f>
        <v>921</v>
      </c>
      <c r="E38" s="25">
        <f>SUM(E35:E37)</f>
        <v>954</v>
      </c>
      <c r="F38" s="25">
        <f>SUM(F35:F37)</f>
        <v>948</v>
      </c>
    </row>
    <row r="39" spans="1:6" x14ac:dyDescent="0.25">
      <c r="A39" s="24" t="s">
        <v>147</v>
      </c>
      <c r="C39" s="25">
        <f>C34+C38</f>
        <v>1330</v>
      </c>
      <c r="D39" s="25">
        <f>D34+D38</f>
        <v>1414</v>
      </c>
      <c r="E39" s="25">
        <f>E34+E38</f>
        <v>1460</v>
      </c>
      <c r="F39" s="25">
        <f>F34+F38</f>
        <v>1450</v>
      </c>
    </row>
    <row r="40" spans="1:7" x14ac:dyDescent="0.25">
      <c r="A40" s="7" t="s">
        <v>148</v>
      </c>
      <c r="C40" s="23">
        <v>165</v>
      </c>
      <c r="D40" s="23">
        <v>178</v>
      </c>
      <c r="E40" s="23">
        <v>188</v>
      </c>
      <c r="F40" s="23">
        <v>195</v>
      </c>
      <c r="G40" s="10" t="s">
        <v>137</v>
      </c>
    </row>
    <row r="41" spans="1:7" x14ac:dyDescent="0.25">
      <c r="A41" s="7" t="s">
        <v>149</v>
      </c>
      <c r="C41" s="23">
        <v>90</v>
      </c>
      <c r="D41" s="23">
        <v>115</v>
      </c>
      <c r="E41" s="23">
        <v>145</v>
      </c>
      <c r="F41" s="23">
        <v>180</v>
      </c>
      <c r="G41" s="10" t="s">
        <v>137</v>
      </c>
    </row>
    <row r="42" spans="1:7" x14ac:dyDescent="0.25">
      <c r="A42" s="7" t="s">
        <v>150</v>
      </c>
      <c r="C42" s="23">
        <v>55</v>
      </c>
      <c r="D42" s="23">
        <v>58</v>
      </c>
      <c r="E42" s="23">
        <v>60</v>
      </c>
      <c r="F42" s="23">
        <v>63</v>
      </c>
      <c r="G42" s="10" t="s">
        <v>137</v>
      </c>
    </row>
    <row r="43" spans="1:6" x14ac:dyDescent="0.25">
      <c r="A43" s="24" t="s">
        <v>151</v>
      </c>
      <c r="C43" s="25">
        <f>SUM(C40:C42)</f>
        <v>310</v>
      </c>
      <c r="D43" s="25">
        <f>SUM(D40:D42)</f>
        <v>351</v>
      </c>
      <c r="E43" s="25">
        <f>SUM(E40:E42)</f>
        <v>393</v>
      </c>
      <c r="F43" s="25">
        <f>SUM(F40:F42)</f>
        <v>438</v>
      </c>
    </row>
    <row r="44" spans="1:7" x14ac:dyDescent="0.25">
      <c r="A44" s="7" t="s">
        <v>152</v>
      </c>
      <c r="C44" s="23">
        <v>470</v>
      </c>
      <c r="D44" s="23">
        <v>510</v>
      </c>
      <c r="E44" s="23">
        <v>555</v>
      </c>
      <c r="F44" s="23">
        <v>605</v>
      </c>
      <c r="G44" s="10" t="s">
        <v>137</v>
      </c>
    </row>
    <row r="45" spans="1:7" x14ac:dyDescent="0.25">
      <c r="A45" s="7" t="s">
        <v>153</v>
      </c>
      <c r="C45" s="23">
        <v>30</v>
      </c>
      <c r="D45" s="23">
        <v>30</v>
      </c>
      <c r="E45" s="23">
        <v>30</v>
      </c>
      <c r="F45" s="23">
        <v>30</v>
      </c>
      <c r="G45" s="10" t="s">
        <v>137</v>
      </c>
    </row>
    <row r="46" spans="1:6" x14ac:dyDescent="0.25">
      <c r="A46" s="24" t="s">
        <v>154</v>
      </c>
      <c r="C46" s="25">
        <f>C44+C45</f>
        <v>500</v>
      </c>
      <c r="D46" s="25">
        <f>D44+D45</f>
        <v>540</v>
      </c>
      <c r="E46" s="25">
        <f>E44+E45</f>
        <v>585</v>
      </c>
      <c r="F46" s="25">
        <f>F44+F45</f>
        <v>635</v>
      </c>
    </row>
    <row r="47" spans="1:6" x14ac:dyDescent="0.25">
      <c r="A47" s="24" t="s">
        <v>155</v>
      </c>
      <c r="C47" s="25">
        <f>C43+C46</f>
        <v>810</v>
      </c>
      <c r="D47" s="25">
        <f>D43+D46</f>
        <v>891</v>
      </c>
      <c r="E47" s="25">
        <f>E43+E46</f>
        <v>978</v>
      </c>
      <c r="F47" s="25">
        <f>F43+F46</f>
        <v>1073</v>
      </c>
    </row>
    <row r="48" spans="1:7" x14ac:dyDescent="0.25">
      <c r="A48" s="7" t="s">
        <v>156</v>
      </c>
      <c r="C48" s="23">
        <v>520</v>
      </c>
      <c r="D48" s="23">
        <v>523</v>
      </c>
      <c r="E48" s="23">
        <v>482</v>
      </c>
      <c r="F48" s="23">
        <v>377</v>
      </c>
      <c r="G48" s="10" t="s">
        <v>137</v>
      </c>
    </row>
    <row r="49" spans="1:6" x14ac:dyDescent="0.25">
      <c r="A49" s="24" t="s">
        <v>157</v>
      </c>
      <c r="C49" s="25">
        <f>C47+C48</f>
        <v>1330</v>
      </c>
      <c r="D49" s="25">
        <f>D47+D48</f>
        <v>1414</v>
      </c>
      <c r="E49" s="25">
        <f>E47+E48</f>
        <v>1460</v>
      </c>
      <c r="F49" s="25">
        <f>F47+F48</f>
        <v>1450</v>
      </c>
    </row>
    <row r="50" spans="1:6" x14ac:dyDescent="0.25">
      <c r="A50" s="26" t="s">
        <v>158</v>
      </c>
      <c r="C50" s="28">
        <f>C39-C49</f>
        <v>0</v>
      </c>
      <c r="D50" s="28">
        <f>D39-D49</f>
        <v>0</v>
      </c>
      <c r="E50" s="28">
        <f>E39-E49</f>
        <v>0</v>
      </c>
      <c r="F50" s="28">
        <f>F39-F49</f>
        <v>0</v>
      </c>
    </row>
    <row r="52" spans="1:7" x14ac:dyDescent="0.25">
      <c r="A52" s="3" t="s">
        <v>159</v>
      </c>
      <c r="B52" s="4"/>
      <c r="C52" s="4"/>
      <c r="D52" s="4"/>
      <c r="E52" s="4"/>
      <c r="F52" s="4"/>
      <c r="G52" s="4"/>
    </row>
    <row r="53" spans="1:6" x14ac:dyDescent="0.25">
      <c r="A53" s="5" t="s">
        <v>10</v>
      </c>
      <c r="C53" s="6" t="s">
        <v>104</v>
      </c>
      <c r="D53" s="6" t="s">
        <v>105</v>
      </c>
      <c r="E53" s="6" t="s">
        <v>106</v>
      </c>
      <c r="F53" s="6" t="s">
        <v>107</v>
      </c>
    </row>
    <row r="54" spans="1:7" x14ac:dyDescent="0.25">
      <c r="A54" s="7" t="s">
        <v>160</v>
      </c>
      <c r="C54" s="23">
        <v>610</v>
      </c>
      <c r="D54" s="23">
        <v>630</v>
      </c>
      <c r="E54" s="23">
        <v>615</v>
      </c>
      <c r="F54" s="23">
        <v>570</v>
      </c>
      <c r="G54" s="10" t="s">
        <v>161</v>
      </c>
    </row>
    <row r="55" spans="1:7" x14ac:dyDescent="0.25">
      <c r="A55" s="7" t="s">
        <v>162</v>
      </c>
      <c r="C55" s="23">
        <v>350</v>
      </c>
      <c r="D55" s="23">
        <v>375</v>
      </c>
      <c r="E55" s="23">
        <v>400</v>
      </c>
      <c r="F55" s="23">
        <v>405</v>
      </c>
      <c r="G55" s="10" t="s">
        <v>161</v>
      </c>
    </row>
    <row r="56" spans="1:7" x14ac:dyDescent="0.25">
      <c r="A56" s="7" t="s">
        <v>163</v>
      </c>
      <c r="C56" s="23">
        <v>190</v>
      </c>
      <c r="D56" s="23">
        <v>200</v>
      </c>
      <c r="E56" s="23">
        <v>215</v>
      </c>
      <c r="F56" s="23">
        <v>215</v>
      </c>
      <c r="G56" s="10" t="s">
        <v>161</v>
      </c>
    </row>
    <row r="57" spans="1:6" x14ac:dyDescent="0.25">
      <c r="A57" s="24" t="s">
        <v>164</v>
      </c>
      <c r="C57" s="25">
        <f>SUM(C54:C56)</f>
        <v>1150</v>
      </c>
      <c r="D57" s="25">
        <f>SUM(D54:D56)</f>
        <v>1205</v>
      </c>
      <c r="E57" s="25">
        <f>SUM(E54:E56)</f>
        <v>1230</v>
      </c>
      <c r="F57" s="25">
        <f>SUM(F54:F56)</f>
        <v>1190</v>
      </c>
    </row>
    <row r="58" spans="1:7" x14ac:dyDescent="0.25">
      <c r="A58" s="7" t="s">
        <v>165</v>
      </c>
      <c r="C58" s="23">
        <v>68</v>
      </c>
      <c r="D58" s="23">
        <v>58</v>
      </c>
      <c r="E58" s="23">
        <v>30</v>
      </c>
      <c r="F58" s="23">
        <v>5</v>
      </c>
      <c r="G58" s="10" t="s">
        <v>166</v>
      </c>
    </row>
    <row r="59" spans="1:7" x14ac:dyDescent="0.25">
      <c r="A59" s="7" t="s">
        <v>167</v>
      </c>
      <c r="C59" s="23">
        <v>40</v>
      </c>
      <c r="D59" s="23">
        <v>42</v>
      </c>
      <c r="E59" s="23">
        <v>38</v>
      </c>
      <c r="F59" s="23">
        <v>33</v>
      </c>
      <c r="G59" s="10" t="s">
        <v>161</v>
      </c>
    </row>
    <row r="60" spans="1:7" x14ac:dyDescent="0.25">
      <c r="A60" s="7" t="s">
        <v>168</v>
      </c>
      <c r="C60" s="23">
        <v>14</v>
      </c>
      <c r="D60" s="23">
        <v>8</v>
      </c>
      <c r="E60" s="23">
        <v>2</v>
      </c>
      <c r="F60" s="23">
        <v>-13</v>
      </c>
      <c r="G60" s="10" t="s">
        <v>161</v>
      </c>
    </row>
    <row r="61" spans="1:6" x14ac:dyDescent="0.25">
      <c r="A61" s="24" t="s">
        <v>169</v>
      </c>
      <c r="C61" s="25">
        <f>SUM(C58:C60)</f>
        <v>122</v>
      </c>
      <c r="D61" s="25">
        <f>SUM(D58:D60)</f>
        <v>108</v>
      </c>
      <c r="E61" s="25">
        <f>SUM(E58:E60)</f>
        <v>70</v>
      </c>
      <c r="F61" s="25">
        <f>SUM(F58:F60)</f>
        <v>25</v>
      </c>
    </row>
    <row r="63" spans="1:7" x14ac:dyDescent="0.25">
      <c r="A63" s="3" t="s">
        <v>170</v>
      </c>
      <c r="B63" s="4"/>
      <c r="C63" s="4"/>
      <c r="D63" s="4"/>
      <c r="E63" s="4"/>
      <c r="F63" s="4"/>
      <c r="G63" s="4"/>
    </row>
    <row r="64" spans="1:6" x14ac:dyDescent="0.25">
      <c r="A64" s="5" t="s">
        <v>171</v>
      </c>
      <c r="C64" s="6" t="s">
        <v>104</v>
      </c>
      <c r="D64" s="6" t="s">
        <v>105</v>
      </c>
      <c r="E64" s="6" t="s">
        <v>106</v>
      </c>
      <c r="F64" s="6" t="s">
        <v>107</v>
      </c>
    </row>
    <row r="65" spans="1:6" x14ac:dyDescent="0.25">
      <c r="A65" s="7" t="s">
        <v>124</v>
      </c>
      <c r="D65" s="20">
        <f>D16</f>
        <v>11</v>
      </c>
      <c r="E65" s="20">
        <f>E16</f>
        <v>-41</v>
      </c>
      <c r="F65" s="20">
        <f>F16</f>
        <v>-105</v>
      </c>
    </row>
    <row r="66" spans="1:6" x14ac:dyDescent="0.25">
      <c r="A66" s="7" t="s">
        <v>172</v>
      </c>
      <c r="D66" s="20">
        <f>D11</f>
        <v>66</v>
      </c>
      <c r="E66" s="20">
        <f>E11</f>
        <v>78</v>
      </c>
      <c r="F66" s="20">
        <f>F11</f>
        <v>90</v>
      </c>
    </row>
    <row r="67" spans="1:7" x14ac:dyDescent="0.25">
      <c r="A67" s="7" t="s">
        <v>173</v>
      </c>
      <c r="D67" s="23">
        <v>-9</v>
      </c>
      <c r="E67" s="23">
        <v>-21</v>
      </c>
      <c r="F67" s="23">
        <v>-11</v>
      </c>
      <c r="G67" s="10" t="s">
        <v>174</v>
      </c>
    </row>
    <row r="68" spans="1:6" x14ac:dyDescent="0.25">
      <c r="A68" s="24" t="s">
        <v>175</v>
      </c>
      <c r="D68" s="25">
        <f>SUM(D65:D67)</f>
        <v>68</v>
      </c>
      <c r="E68" s="25">
        <f>SUM(E65:E67)</f>
        <v>16</v>
      </c>
      <c r="F68" s="25">
        <f>SUM(F65:F67)</f>
        <v>-26</v>
      </c>
    </row>
    <row r="69" spans="1:7" x14ac:dyDescent="0.25">
      <c r="A69" s="7" t="s">
        <v>176</v>
      </c>
      <c r="D69" s="23">
        <v>-45</v>
      </c>
      <c r="E69" s="23">
        <v>-45</v>
      </c>
      <c r="F69" s="23">
        <v>-45</v>
      </c>
      <c r="G69" s="10" t="s">
        <v>177</v>
      </c>
    </row>
    <row r="70" spans="1:7" x14ac:dyDescent="0.25">
      <c r="A70" s="7" t="s">
        <v>178</v>
      </c>
      <c r="D70" s="23">
        <v>-35</v>
      </c>
      <c r="E70" s="23">
        <v>-30</v>
      </c>
      <c r="F70" s="23">
        <v>-25</v>
      </c>
      <c r="G70" s="10" t="s">
        <v>174</v>
      </c>
    </row>
    <row r="71" spans="1:7" x14ac:dyDescent="0.25">
      <c r="A71" s="7" t="s">
        <v>179</v>
      </c>
      <c r="D71" s="23">
        <v>-50</v>
      </c>
      <c r="E71" s="23">
        <v>-55</v>
      </c>
      <c r="F71" s="23">
        <v>-45</v>
      </c>
      <c r="G71" s="10" t="s">
        <v>174</v>
      </c>
    </row>
    <row r="72" spans="1:7" x14ac:dyDescent="0.25">
      <c r="A72" s="7" t="s">
        <v>180</v>
      </c>
      <c r="D72" s="23">
        <v>-10</v>
      </c>
      <c r="E72" s="23">
        <v>0</v>
      </c>
      <c r="F72" s="23">
        <v>0</v>
      </c>
      <c r="G72" s="10" t="s">
        <v>174</v>
      </c>
    </row>
    <row r="73" spans="1:6" x14ac:dyDescent="0.25">
      <c r="A73" s="24" t="s">
        <v>181</v>
      </c>
      <c r="D73" s="25">
        <f>SUM(D69:D72)</f>
        <v>-140</v>
      </c>
      <c r="E73" s="25">
        <f>SUM(E69:E72)</f>
        <v>-130</v>
      </c>
      <c r="F73" s="25">
        <f>SUM(F69:F72)</f>
        <v>-115</v>
      </c>
    </row>
    <row r="74" spans="1:6" x14ac:dyDescent="0.25">
      <c r="A74" s="24" t="s">
        <v>182</v>
      </c>
      <c r="D74" s="25">
        <f>D68+D73</f>
        <v>-72</v>
      </c>
      <c r="E74" s="25">
        <f>E68+E73</f>
        <v>-114</v>
      </c>
      <c r="F74" s="25">
        <f>F68+F73</f>
        <v>-141</v>
      </c>
    </row>
    <row r="75" spans="1:7" x14ac:dyDescent="0.25">
      <c r="A75" s="7" t="s">
        <v>183</v>
      </c>
      <c r="D75" s="23">
        <v>0</v>
      </c>
      <c r="E75" s="23">
        <v>19</v>
      </c>
      <c r="F75" s="23">
        <v>31</v>
      </c>
      <c r="G75" s="10" t="s">
        <v>184</v>
      </c>
    </row>
    <row r="76" spans="1:7" x14ac:dyDescent="0.25">
      <c r="A76" s="7" t="s">
        <v>185</v>
      </c>
      <c r="D76" s="23">
        <v>65</v>
      </c>
      <c r="E76" s="23">
        <v>75</v>
      </c>
      <c r="F76" s="23">
        <v>85</v>
      </c>
      <c r="G76" s="10" t="s">
        <v>174</v>
      </c>
    </row>
    <row r="77" spans="1:7" x14ac:dyDescent="0.25">
      <c r="A77" s="7" t="s">
        <v>186</v>
      </c>
      <c r="D77" s="23">
        <v>-8</v>
      </c>
      <c r="E77" s="23">
        <v>0</v>
      </c>
      <c r="F77" s="23">
        <v>0</v>
      </c>
      <c r="G77" s="10" t="s">
        <v>174</v>
      </c>
    </row>
    <row r="78" spans="1:6" x14ac:dyDescent="0.25">
      <c r="A78" s="24" t="s">
        <v>187</v>
      </c>
      <c r="D78" s="25">
        <f>D74+D75+D76+D77</f>
        <v>-15</v>
      </c>
      <c r="E78" s="25">
        <f>E74+E75+E76+E77</f>
        <v>-20</v>
      </c>
      <c r="F78" s="25">
        <f>F74+F75+F76+F77</f>
        <v>-25</v>
      </c>
    </row>
    <row r="79" spans="1:6" x14ac:dyDescent="0.25">
      <c r="A79" s="7" t="s">
        <v>188</v>
      </c>
      <c r="D79" s="20">
        <f>C30</f>
        <v>90</v>
      </c>
      <c r="E79" s="20">
        <f>D30</f>
        <v>75</v>
      </c>
      <c r="F79" s="20">
        <f>E30</f>
        <v>55</v>
      </c>
    </row>
    <row r="80" spans="1:6" x14ac:dyDescent="0.25">
      <c r="A80" s="24" t="s">
        <v>189</v>
      </c>
      <c r="D80" s="25">
        <f>D79+D78</f>
        <v>75</v>
      </c>
      <c r="E80" s="25">
        <f>E79+E78</f>
        <v>55</v>
      </c>
      <c r="F80" s="25">
        <f>F79+F78</f>
        <v>30</v>
      </c>
    </row>
    <row r="81" spans="1:6" x14ac:dyDescent="0.25">
      <c r="A81" s="26" t="s">
        <v>190</v>
      </c>
      <c r="D81" s="28">
        <f>D80-D30</f>
        <v>0</v>
      </c>
      <c r="E81" s="28">
        <f>E80-E30</f>
        <v>0</v>
      </c>
      <c r="F81" s="28">
        <f>F80-F30</f>
        <v>0</v>
      </c>
    </row>
    <row r="82" spans="1:6" x14ac:dyDescent="0.25">
      <c r="A82" s="26" t="s">
        <v>191</v>
      </c>
      <c r="D82" s="28">
        <f>D76-((D41+D44)-(C41+C44))</f>
        <v>0</v>
      </c>
      <c r="E82" s="28">
        <f>E76-((E41+E44)-(D41+D44))</f>
        <v>0</v>
      </c>
      <c r="F82" s="28">
        <f>F76-((F41+F44)-(E41+E44))</f>
        <v>0</v>
      </c>
    </row>
    <row r="83" spans="1:7" x14ac:dyDescent="0.25">
      <c r="A83" s="7" t="s">
        <v>192</v>
      </c>
      <c r="D83" s="23">
        <v>40</v>
      </c>
      <c r="E83" s="23">
        <v>45</v>
      </c>
      <c r="F83" s="23">
        <v>50</v>
      </c>
      <c r="G83" s="10" t="s">
        <v>193</v>
      </c>
    </row>
    <row r="84" spans="1:7" x14ac:dyDescent="0.25">
      <c r="A84" s="7" t="s">
        <v>194</v>
      </c>
      <c r="D84" s="23">
        <v>15</v>
      </c>
      <c r="E84" s="23">
        <v>20</v>
      </c>
      <c r="F84" s="23">
        <v>25</v>
      </c>
      <c r="G84" s="10" t="s">
        <v>174</v>
      </c>
    </row>
    <row r="85" spans="1:7" x14ac:dyDescent="0.25">
      <c r="A85" s="7" t="s">
        <v>195</v>
      </c>
      <c r="D85" s="23">
        <v>11</v>
      </c>
      <c r="E85" s="23">
        <v>13</v>
      </c>
      <c r="F85" s="23">
        <v>15</v>
      </c>
      <c r="G85" s="10" t="s">
        <v>174</v>
      </c>
    </row>
    <row r="86" spans="1:6" x14ac:dyDescent="0.25">
      <c r="A86" s="26" t="s">
        <v>196</v>
      </c>
      <c r="D86" s="28">
        <f>SUM(D83:D85)-D11</f>
        <v>0</v>
      </c>
      <c r="E86" s="28">
        <f>SUM(E83:E85)-E11</f>
        <v>0</v>
      </c>
      <c r="F86" s="28">
        <f>SUM(F83:F85)-F11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8" customWidth="1"/>
    <col min="3" max="5" width="14" customWidth="1"/>
    <col min="6" max="6" width="12" customWidth="1"/>
    <col min="7" max="7" width="70" customWidth="1"/>
  </cols>
  <sheetData>
    <row r="1" spans="1:1" x14ac:dyDescent="0.25">
      <c r="A1" s="1" t="s">
        <v>197</v>
      </c>
    </row>
    <row r="2" spans="1:1" x14ac:dyDescent="0.25">
      <c r="A2" s="2" t="s">
        <v>198</v>
      </c>
    </row>
    <row r="4" spans="1:7" x14ac:dyDescent="0.25">
      <c r="A4" s="3" t="s">
        <v>199</v>
      </c>
      <c r="B4" s="4"/>
      <c r="C4" s="4"/>
      <c r="D4" s="4"/>
      <c r="E4" s="4"/>
      <c r="F4" s="4"/>
      <c r="G4" s="4"/>
    </row>
    <row r="5" spans="1:7" x14ac:dyDescent="0.25">
      <c r="A5" s="5" t="s">
        <v>10</v>
      </c>
      <c r="C5" s="6" t="s">
        <v>200</v>
      </c>
      <c r="D5" s="6" t="s">
        <v>201</v>
      </c>
      <c r="E5" s="6" t="s">
        <v>202</v>
      </c>
      <c r="F5" s="6" t="s">
        <v>203</v>
      </c>
      <c r="G5" s="6" t="s">
        <v>108</v>
      </c>
    </row>
    <row r="6" spans="1:7" x14ac:dyDescent="0.25">
      <c r="A6" s="7" t="s">
        <v>204</v>
      </c>
      <c r="C6" s="23">
        <v>50</v>
      </c>
      <c r="D6" s="23">
        <v>55</v>
      </c>
      <c r="E6" s="23">
        <v>45</v>
      </c>
      <c r="F6" s="20">
        <f>SUM(C6:E6)</f>
        <v>150</v>
      </c>
      <c r="G6" s="10" t="s">
        <v>205</v>
      </c>
    </row>
    <row r="7" spans="1:7" x14ac:dyDescent="0.25">
      <c r="A7" s="7" t="s">
        <v>206</v>
      </c>
      <c r="C7" s="23">
        <v>38</v>
      </c>
      <c r="D7" s="23">
        <v>44</v>
      </c>
      <c r="E7" s="23">
        <v>33</v>
      </c>
      <c r="F7" s="20">
        <f>SUM(C7:E7)</f>
        <v>115</v>
      </c>
      <c r="G7" s="10" t="s">
        <v>205</v>
      </c>
    </row>
    <row r="8" spans="1:7" x14ac:dyDescent="0.25">
      <c r="A8" s="7" t="s">
        <v>207</v>
      </c>
      <c r="C8" s="23">
        <v>10</v>
      </c>
      <c r="D8" s="23">
        <v>12</v>
      </c>
      <c r="E8" s="23">
        <v>14</v>
      </c>
      <c r="F8" s="20">
        <f>SUM(C8:E8)</f>
        <v>36</v>
      </c>
      <c r="G8" s="10" t="s">
        <v>205</v>
      </c>
    </row>
    <row r="9" spans="1:7" x14ac:dyDescent="0.25">
      <c r="A9" s="7" t="s">
        <v>208</v>
      </c>
      <c r="C9" s="23">
        <v>5</v>
      </c>
      <c r="D9" s="23">
        <v>7</v>
      </c>
      <c r="E9" s="23">
        <v>1</v>
      </c>
      <c r="F9" s="20">
        <f>SUM(C9:E9)</f>
        <v>13</v>
      </c>
      <c r="G9" s="10" t="s">
        <v>209</v>
      </c>
    </row>
    <row r="10" spans="1:7" x14ac:dyDescent="0.25">
      <c r="A10" s="7" t="s">
        <v>210</v>
      </c>
      <c r="C10" s="23">
        <v>8</v>
      </c>
      <c r="D10" s="23">
        <v>12</v>
      </c>
      <c r="E10" s="23">
        <v>10</v>
      </c>
      <c r="F10" s="20">
        <f>SUM(C10:E10)</f>
        <v>30</v>
      </c>
      <c r="G10" s="10" t="s">
        <v>211</v>
      </c>
    </row>
    <row r="12" spans="1:7" x14ac:dyDescent="0.25">
      <c r="A12" s="3" t="s">
        <v>212</v>
      </c>
      <c r="B12" s="4"/>
      <c r="C12" s="4"/>
      <c r="D12" s="4"/>
      <c r="E12" s="4"/>
      <c r="F12" s="4"/>
      <c r="G12" s="4"/>
    </row>
    <row r="13" spans="1:6" x14ac:dyDescent="0.25">
      <c r="A13" s="5" t="s">
        <v>10</v>
      </c>
      <c r="C13" s="6" t="s">
        <v>200</v>
      </c>
      <c r="D13" s="6" t="s">
        <v>201</v>
      </c>
      <c r="E13" s="6" t="s">
        <v>202</v>
      </c>
      <c r="F13" s="6" t="s">
        <v>203</v>
      </c>
    </row>
    <row r="14" spans="1:7" x14ac:dyDescent="0.25">
      <c r="A14" s="7" t="s">
        <v>213</v>
      </c>
      <c r="C14" s="23">
        <v>0.8</v>
      </c>
      <c r="D14" s="23">
        <v>1</v>
      </c>
      <c r="E14" s="23">
        <v>1.5</v>
      </c>
      <c r="F14" s="20">
        <f>SUM(C14:E14)</f>
        <v>3.3</v>
      </c>
      <c r="G14" s="10" t="s">
        <v>214</v>
      </c>
    </row>
    <row r="15" spans="1:7" x14ac:dyDescent="0.25">
      <c r="A15" s="7" t="s">
        <v>215</v>
      </c>
      <c r="C15" s="23">
        <v>0.7</v>
      </c>
      <c r="D15" s="23">
        <v>1.2</v>
      </c>
      <c r="E15" s="23">
        <v>1.3</v>
      </c>
      <c r="F15" s="20">
        <f>SUM(C15:E15)</f>
        <v>3.2</v>
      </c>
      <c r="G15" s="10" t="s">
        <v>214</v>
      </c>
    </row>
    <row r="16" spans="1:7" x14ac:dyDescent="0.25">
      <c r="A16" s="7" t="s">
        <v>216</v>
      </c>
      <c r="C16" s="23">
        <v>0</v>
      </c>
      <c r="D16" s="23">
        <v>0</v>
      </c>
      <c r="E16" s="23">
        <v>0.8</v>
      </c>
      <c r="F16" s="20">
        <f>SUM(C16:E16)</f>
        <v>0.8</v>
      </c>
      <c r="G16" s="10" t="s">
        <v>217</v>
      </c>
    </row>
    <row r="17" spans="1:7" x14ac:dyDescent="0.25">
      <c r="A17" s="7" t="s">
        <v>218</v>
      </c>
      <c r="C17" s="23">
        <v>1.5</v>
      </c>
      <c r="D17" s="23">
        <v>1.8</v>
      </c>
      <c r="E17" s="23">
        <v>2.4</v>
      </c>
      <c r="F17" s="20">
        <f>SUM(C17:E17)</f>
        <v>5.7</v>
      </c>
      <c r="G17" s="10" t="s">
        <v>214</v>
      </c>
    </row>
    <row r="18" spans="1:6" x14ac:dyDescent="0.25">
      <c r="A18" s="24" t="s">
        <v>219</v>
      </c>
      <c r="C18" s="25">
        <f>SUM(C14:C17)</f>
        <v>3</v>
      </c>
      <c r="D18" s="25">
        <f>SUM(D14:D17)</f>
        <v>4</v>
      </c>
      <c r="E18" s="25">
        <f>SUM(E14:E17)</f>
        <v>6</v>
      </c>
      <c r="F18" s="25">
        <f>SUM(C18:E18)</f>
        <v>13</v>
      </c>
    </row>
    <row r="19" spans="1:7" x14ac:dyDescent="0.25">
      <c r="A19" s="7" t="s">
        <v>220</v>
      </c>
      <c r="C19" s="23">
        <v>4</v>
      </c>
      <c r="D19" s="23">
        <v>4</v>
      </c>
      <c r="E19" s="23">
        <v>5</v>
      </c>
      <c r="F19" s="20">
        <f>SUM(C19:E19)</f>
        <v>13</v>
      </c>
      <c r="G19" s="10" t="s">
        <v>221</v>
      </c>
    </row>
    <row r="20" spans="1:7" x14ac:dyDescent="0.25">
      <c r="A20" s="7" t="s">
        <v>222</v>
      </c>
      <c r="C20" s="23">
        <v>2</v>
      </c>
      <c r="D20" s="23">
        <v>3</v>
      </c>
      <c r="E20" s="23">
        <v>2</v>
      </c>
      <c r="F20" s="20">
        <f>SUM(C20:E20)</f>
        <v>7</v>
      </c>
      <c r="G20" s="10" t="s">
        <v>221</v>
      </c>
    </row>
    <row r="21" spans="1:7" x14ac:dyDescent="0.25">
      <c r="A21" s="7" t="s">
        <v>223</v>
      </c>
      <c r="C21" s="23">
        <v>1</v>
      </c>
      <c r="D21" s="23">
        <v>1</v>
      </c>
      <c r="E21" s="23">
        <v>1</v>
      </c>
      <c r="F21" s="20">
        <f>SUM(C21:E21)</f>
        <v>3</v>
      </c>
      <c r="G21" s="10" t="s">
        <v>221</v>
      </c>
    </row>
    <row r="22" spans="1:6" x14ac:dyDescent="0.25">
      <c r="A22" s="24" t="s">
        <v>224</v>
      </c>
      <c r="C22" s="25">
        <f>SUM(C19:C21)</f>
        <v>7</v>
      </c>
      <c r="D22" s="25">
        <f>SUM(D19:D21)</f>
        <v>8</v>
      </c>
      <c r="E22" s="25">
        <f>SUM(E19:E21)</f>
        <v>8</v>
      </c>
      <c r="F22" s="25">
        <f>SUM(C22:E22)</f>
        <v>23</v>
      </c>
    </row>
    <row r="23" spans="1:6" x14ac:dyDescent="0.25">
      <c r="A23" s="24" t="s">
        <v>225</v>
      </c>
      <c r="C23" s="25">
        <f>C18+C22</f>
        <v>10</v>
      </c>
      <c r="D23" s="25">
        <f>D18+D22</f>
        <v>12</v>
      </c>
      <c r="E23" s="25">
        <f>E18+E22</f>
        <v>14</v>
      </c>
      <c r="F23" s="25">
        <f>SUM(C23:E23)</f>
        <v>36</v>
      </c>
    </row>
    <row r="24" spans="1:6" x14ac:dyDescent="0.25">
      <c r="A24" s="26" t="s">
        <v>226</v>
      </c>
      <c r="C24" s="28">
        <f>C23-C8</f>
        <v>0</v>
      </c>
      <c r="D24" s="28">
        <f>D23-D8</f>
        <v>0</v>
      </c>
      <c r="E24" s="28">
        <f>E23-E8</f>
        <v>0</v>
      </c>
      <c r="F24" s="28">
        <f>SUM(C24:E24)</f>
        <v>0</v>
      </c>
    </row>
    <row r="25" spans="1:7" x14ac:dyDescent="0.25">
      <c r="A25" s="7" t="s">
        <v>227</v>
      </c>
      <c r="C25" s="23">
        <v>1</v>
      </c>
      <c r="D25" s="23">
        <v>1.5</v>
      </c>
      <c r="E25" s="23">
        <v>2</v>
      </c>
      <c r="F25" s="20">
        <f>SUM(C25:E25)</f>
        <v>4.5</v>
      </c>
      <c r="G25" s="10" t="s">
        <v>228</v>
      </c>
    </row>
    <row r="26" spans="1:7" x14ac:dyDescent="0.25">
      <c r="A26" s="7" t="s">
        <v>229</v>
      </c>
      <c r="C26" s="23">
        <v>1</v>
      </c>
      <c r="D26" s="23">
        <v>2</v>
      </c>
      <c r="E26" s="23">
        <v>3</v>
      </c>
      <c r="F26" s="20">
        <f>SUM(C26:E26)</f>
        <v>6</v>
      </c>
      <c r="G26" s="10" t="s">
        <v>230</v>
      </c>
    </row>
    <row r="27" spans="1:7" x14ac:dyDescent="0.25">
      <c r="A27" s="7" t="s">
        <v>231</v>
      </c>
      <c r="C27" s="23">
        <v>12</v>
      </c>
      <c r="G27" s="10" t="s">
        <v>232</v>
      </c>
    </row>
    <row r="28" spans="1:7" x14ac:dyDescent="0.25">
      <c r="A28" s="7" t="s">
        <v>233</v>
      </c>
      <c r="C28" s="29">
        <v>24</v>
      </c>
      <c r="G28" s="10" t="s">
        <v>234</v>
      </c>
    </row>
    <row r="30" spans="1:7" x14ac:dyDescent="0.25">
      <c r="A30" s="3" t="s">
        <v>235</v>
      </c>
      <c r="B30" s="4"/>
      <c r="C30" s="4"/>
      <c r="D30" s="4"/>
      <c r="E30" s="4"/>
      <c r="F30" s="4"/>
      <c r="G30" s="4"/>
    </row>
    <row r="31" spans="3:5" x14ac:dyDescent="0.25">
      <c r="C31" s="6" t="s">
        <v>200</v>
      </c>
      <c r="D31" s="6" t="s">
        <v>201</v>
      </c>
      <c r="E31" s="6" t="s">
        <v>202</v>
      </c>
    </row>
    <row r="32" spans="1:7" x14ac:dyDescent="0.25">
      <c r="A32" s="7" t="s">
        <v>236</v>
      </c>
      <c r="C32" s="18" t="s">
        <v>237</v>
      </c>
      <c r="D32" s="18" t="s">
        <v>238</v>
      </c>
      <c r="E32" s="18" t="s">
        <v>239</v>
      </c>
      <c r="G32" s="10" t="s">
        <v>240</v>
      </c>
    </row>
    <row r="33" spans="1:7" x14ac:dyDescent="0.25">
      <c r="A33" s="7" t="s">
        <v>241</v>
      </c>
      <c r="C33" s="29">
        <v>150</v>
      </c>
      <c r="D33" s="29">
        <v>8</v>
      </c>
      <c r="E33" s="29">
        <v>3</v>
      </c>
      <c r="G33" s="10" t="s">
        <v>242</v>
      </c>
    </row>
    <row r="34" spans="1:7" x14ac:dyDescent="0.25">
      <c r="A34" s="7" t="s">
        <v>243</v>
      </c>
      <c r="C34" s="30">
        <v>0.12</v>
      </c>
      <c r="D34" s="30">
        <v>0.06</v>
      </c>
      <c r="E34" s="31">
        <v>90</v>
      </c>
      <c r="G34" s="10" t="s">
        <v>240</v>
      </c>
    </row>
    <row r="35" spans="1:7" x14ac:dyDescent="0.25">
      <c r="A35" s="7" t="s">
        <v>244</v>
      </c>
      <c r="C35" s="30">
        <v>0.07</v>
      </c>
      <c r="D35" s="30">
        <v>0.035</v>
      </c>
      <c r="E35" s="31">
        <v>75</v>
      </c>
      <c r="G35" s="10" t="s">
        <v>245</v>
      </c>
    </row>
    <row r="36" spans="1:7" x14ac:dyDescent="0.25">
      <c r="A36" s="7" t="s">
        <v>246</v>
      </c>
      <c r="C36" s="30">
        <v>0.09</v>
      </c>
      <c r="D36" s="30">
        <v>0.048</v>
      </c>
      <c r="E36" s="31">
        <v>94</v>
      </c>
      <c r="G36" s="10" t="s">
        <v>240</v>
      </c>
    </row>
    <row r="37" spans="1:7" x14ac:dyDescent="0.25">
      <c r="A37" s="7" t="s">
        <v>247</v>
      </c>
      <c r="C37" s="30">
        <v>0.6</v>
      </c>
      <c r="D37" s="30">
        <v>0.45</v>
      </c>
      <c r="E37" s="30">
        <v>0.35</v>
      </c>
      <c r="G37" s="10" t="s">
        <v>248</v>
      </c>
    </row>
    <row r="38" spans="1:7" x14ac:dyDescent="0.25">
      <c r="A38" s="7" t="s">
        <v>249</v>
      </c>
      <c r="E38" s="30">
        <v>0.86</v>
      </c>
      <c r="G38" s="10" t="s">
        <v>250</v>
      </c>
    </row>
    <row r="39" spans="1:7" x14ac:dyDescent="0.25">
      <c r="A39" s="7" t="s">
        <v>251</v>
      </c>
      <c r="C39" s="18" t="s">
        <v>252</v>
      </c>
      <c r="D39" s="18" t="s">
        <v>253</v>
      </c>
      <c r="E39" s="18" t="s">
        <v>254</v>
      </c>
      <c r="G39" s="10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8" customWidth="1"/>
    <col min="3" max="6" width="12" customWidth="1"/>
    <col min="7" max="7" width="60" customWidth="1"/>
  </cols>
  <sheetData>
    <row r="1" spans="1:1" x14ac:dyDescent="0.25">
      <c r="A1" s="1" t="s">
        <v>255</v>
      </c>
    </row>
    <row r="3" spans="1:7" x14ac:dyDescent="0.25">
      <c r="A3" s="3" t="s">
        <v>256</v>
      </c>
      <c r="B3" s="4"/>
      <c r="C3" s="4"/>
      <c r="D3" s="4"/>
      <c r="E3" s="4"/>
      <c r="F3" s="4"/>
      <c r="G3" s="4"/>
    </row>
    <row r="4" spans="3:7" x14ac:dyDescent="0.25">
      <c r="C4" s="6" t="s">
        <v>257</v>
      </c>
      <c r="D4" s="6" t="s">
        <v>258</v>
      </c>
      <c r="E4" s="6" t="s">
        <v>259</v>
      </c>
      <c r="F4" s="6" t="s">
        <v>260</v>
      </c>
      <c r="G4" s="6" t="s">
        <v>108</v>
      </c>
    </row>
    <row r="5" spans="1:7" x14ac:dyDescent="0.25">
      <c r="A5" s="7" t="s">
        <v>261</v>
      </c>
      <c r="C5" s="29">
        <v>5</v>
      </c>
      <c r="D5" s="29">
        <v>3</v>
      </c>
      <c r="E5" s="29">
        <v>3</v>
      </c>
      <c r="F5" s="32">
        <f>SUM(C5:E5)</f>
        <v>11</v>
      </c>
      <c r="G5" s="10" t="s">
        <v>262</v>
      </c>
    </row>
    <row r="6" spans="1:7" x14ac:dyDescent="0.25">
      <c r="A6" s="7" t="s">
        <v>263</v>
      </c>
      <c r="C6" s="30">
        <v>0.72</v>
      </c>
      <c r="D6" s="30">
        <v>0.81</v>
      </c>
      <c r="E6" s="30">
        <v>0.67</v>
      </c>
      <c r="G6" s="10" t="s">
        <v>264</v>
      </c>
    </row>
    <row r="7" spans="1:7" x14ac:dyDescent="0.25">
      <c r="A7" s="7" t="s">
        <v>265</v>
      </c>
      <c r="C7" s="23">
        <v>45</v>
      </c>
      <c r="D7" s="23">
        <v>25</v>
      </c>
      <c r="E7" s="23">
        <v>50</v>
      </c>
      <c r="F7" s="20">
        <f>SUM(C7:E7)</f>
        <v>120</v>
      </c>
      <c r="G7" s="10" t="s">
        <v>234</v>
      </c>
    </row>
    <row r="8" spans="1:7" x14ac:dyDescent="0.25">
      <c r="A8" s="7" t="s">
        <v>266</v>
      </c>
      <c r="C8" s="23">
        <v>95</v>
      </c>
      <c r="D8" s="23">
        <v>60</v>
      </c>
      <c r="E8" s="23">
        <v>25</v>
      </c>
      <c r="F8" s="20">
        <f>SUM(C8:E8)</f>
        <v>180</v>
      </c>
      <c r="G8" s="10" t="s">
        <v>234</v>
      </c>
    </row>
    <row r="9" spans="1:7" x14ac:dyDescent="0.25">
      <c r="A9" s="7" t="s">
        <v>267</v>
      </c>
      <c r="C9" s="18" t="s">
        <v>268</v>
      </c>
      <c r="D9" s="18" t="s">
        <v>269</v>
      </c>
      <c r="E9" s="18" t="s">
        <v>270</v>
      </c>
      <c r="G9" s="10" t="s">
        <v>234</v>
      </c>
    </row>
    <row r="10" spans="1:7" x14ac:dyDescent="0.25">
      <c r="A10" s="7" t="s">
        <v>271</v>
      </c>
      <c r="C10" s="18" t="s">
        <v>272</v>
      </c>
      <c r="D10" s="18" t="s">
        <v>273</v>
      </c>
      <c r="E10" s="18" t="s">
        <v>274</v>
      </c>
      <c r="G10" s="10" t="s">
        <v>234</v>
      </c>
    </row>
    <row r="12" spans="1:7" x14ac:dyDescent="0.25">
      <c r="A12" s="3" t="s">
        <v>275</v>
      </c>
      <c r="B12" s="4"/>
      <c r="C12" s="4"/>
      <c r="D12" s="4"/>
      <c r="E12" s="4"/>
      <c r="F12" s="4"/>
      <c r="G12" s="4"/>
    </row>
    <row r="13" spans="1:7" x14ac:dyDescent="0.25">
      <c r="A13" s="7" t="s">
        <v>276</v>
      </c>
      <c r="C13" s="29">
        <v>8</v>
      </c>
      <c r="G13" s="10" t="s">
        <v>277</v>
      </c>
    </row>
    <row r="14" spans="1:7" x14ac:dyDescent="0.25">
      <c r="A14" s="7" t="s">
        <v>278</v>
      </c>
      <c r="C14" s="30">
        <v>0.4</v>
      </c>
      <c r="G14" s="10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 showGridLines="0"/>
  </sheetViews>
  <sheetFormatPr defaultRowHeight="15" outlineLevelRow="0" outlineLevelCol="0" x14ac:dyDescent="55"/>
  <cols>
    <col min="1" max="1" width="52" customWidth="1"/>
    <col min="2" max="2" width="8" customWidth="1"/>
    <col min="3" max="6" width="12" customWidth="1"/>
    <col min="7" max="7" width="4" customWidth="1"/>
    <col min="8" max="8" width="80" customWidth="1"/>
  </cols>
  <sheetData>
    <row r="1" spans="1:1" x14ac:dyDescent="0.25">
      <c r="A1" s="1" t="s">
        <v>280</v>
      </c>
    </row>
    <row r="3" spans="1:8" x14ac:dyDescent="0.25">
      <c r="A3" s="3" t="s">
        <v>281</v>
      </c>
      <c r="B3" s="4"/>
      <c r="C3" s="4"/>
      <c r="D3" s="4"/>
      <c r="E3" s="4"/>
      <c r="F3" s="4"/>
      <c r="G3" s="4"/>
      <c r="H3" s="4"/>
    </row>
    <row r="4" spans="3:8" x14ac:dyDescent="0.25">
      <c r="C4" s="6" t="s">
        <v>104</v>
      </c>
      <c r="D4" s="6" t="s">
        <v>105</v>
      </c>
      <c r="E4" s="6" t="s">
        <v>106</v>
      </c>
      <c r="F4" s="6" t="s">
        <v>107</v>
      </c>
      <c r="H4" s="6" t="s">
        <v>282</v>
      </c>
    </row>
    <row r="5" spans="1:6" x14ac:dyDescent="0.25">
      <c r="A5" s="7" t="s">
        <v>283</v>
      </c>
      <c r="D5" s="33">
        <f>Case_Financials!$D$6/Case_Financials!$C$6-1</f>
        <v>0.047826086957</v>
      </c>
      <c r="E5" s="33">
        <f>Case_Financials!$E$6/Case_Financials!$D$6-1</f>
        <v>0.020746887967</v>
      </c>
      <c r="F5" s="33">
        <f>Case_Financials!$F$6/Case_Financials!$E$6-1</f>
        <v>-0.032520325203</v>
      </c>
    </row>
    <row r="6" spans="1:8" x14ac:dyDescent="0.25">
      <c r="A6" s="7" t="s">
        <v>284</v>
      </c>
      <c r="C6" s="33">
        <f>Case_Financials!$C$8/Case_Financials!$C$6</f>
        <v>0.25217391304</v>
      </c>
      <c r="D6" s="33">
        <f>Case_Financials!$D$8/Case_Financials!$D$6</f>
        <v>0.24481327801</v>
      </c>
      <c r="E6" s="33">
        <f>Case_Financials!$E$8/Case_Financials!$E$6</f>
        <v>0.23170731707</v>
      </c>
      <c r="F6" s="33">
        <f>Case_Financials!$F$8/Case_Financials!$F$6</f>
        <v>0.21848739496</v>
      </c>
      <c r="H6" s="10" t="s">
        <v>285</v>
      </c>
    </row>
    <row r="7" spans="1:6" x14ac:dyDescent="0.25">
      <c r="A7" s="7" t="s">
        <v>286</v>
      </c>
      <c r="C7" s="33">
        <f>Case_Financials!$C$10/Case_Financials!$C$6</f>
        <v>0.10608695652</v>
      </c>
      <c r="D7" s="33">
        <f>Case_Financials!$D$10/Case_Financials!$D$6</f>
        <v>0.089626556017</v>
      </c>
      <c r="E7" s="33">
        <f>Case_Financials!$E$10/Case_Financials!$E$6</f>
        <v>0.056910569106</v>
      </c>
      <c r="F7" s="33">
        <f>Case_Financials!$F$10/Case_Financials!$F$6</f>
        <v>0.021008403361</v>
      </c>
    </row>
    <row r="8" spans="1:6" x14ac:dyDescent="0.25">
      <c r="A8" s="7" t="s">
        <v>287</v>
      </c>
      <c r="C8" s="33">
        <f>Case_Financials!$C$9/Case_Financials!$C$6</f>
        <v>0.14608695652</v>
      </c>
      <c r="D8" s="33">
        <f>Case_Financials!$D$9/Case_Financials!$D$6</f>
        <v>0.15518672199</v>
      </c>
      <c r="E8" s="33">
        <f>Case_Financials!$E$9/Case_Financials!$E$6</f>
        <v>0.17479674797</v>
      </c>
      <c r="F8" s="33">
        <f>Case_Financials!$F$9/Case_Financials!$F$6</f>
        <v>0.1974789916</v>
      </c>
    </row>
    <row r="9" spans="1:8" x14ac:dyDescent="0.25">
      <c r="A9" s="7" t="s">
        <v>288</v>
      </c>
      <c r="C9" s="33">
        <f>Case_Financials!$C$24/Case_Financials!$C$6</f>
        <v>0.0069565217391</v>
      </c>
      <c r="D9" s="33">
        <f>Case_Financials!$D$24/Case_Financials!$D$6</f>
        <v>0.014937759336</v>
      </c>
      <c r="E9" s="33">
        <f>Case_Financials!$E$24/Case_Financials!$E$6</f>
        <v>0.028455284553</v>
      </c>
      <c r="F9" s="33">
        <f>Case_Financials!$F$24/Case_Financials!$F$6</f>
        <v>0.040336134454</v>
      </c>
      <c r="H9" s="10" t="s">
        <v>289</v>
      </c>
    </row>
    <row r="10" spans="1:6" x14ac:dyDescent="0.25">
      <c r="A10" s="7" t="s">
        <v>290</v>
      </c>
      <c r="C10" s="20">
        <f>Case_Financials!$C$41+Case_Financials!$C$44</f>
        <v>560</v>
      </c>
      <c r="D10" s="20">
        <f>Case_Financials!$D$41+Case_Financials!$D$44</f>
        <v>625</v>
      </c>
      <c r="E10" s="20">
        <f>Case_Financials!$E$41+Case_Financials!$E$44</f>
        <v>700</v>
      </c>
      <c r="F10" s="20">
        <f>Case_Financials!$F$41+Case_Financials!$F$44</f>
        <v>785</v>
      </c>
    </row>
    <row r="11" spans="1:6" x14ac:dyDescent="0.25">
      <c r="A11" s="7" t="s">
        <v>291</v>
      </c>
      <c r="C11" s="20">
        <f>C10-Case_Financials!$C$30</f>
        <v>470</v>
      </c>
      <c r="D11" s="20">
        <f>D10-Case_Financials!$D$30</f>
        <v>550</v>
      </c>
      <c r="E11" s="20">
        <f>E10-Case_Financials!$E$30</f>
        <v>645</v>
      </c>
      <c r="F11" s="20">
        <f>F10-Case_Financials!$F$30</f>
        <v>755</v>
      </c>
    </row>
    <row r="12" spans="1:8" x14ac:dyDescent="0.25">
      <c r="A12" s="7" t="s">
        <v>292</v>
      </c>
      <c r="C12" s="16">
        <f>C11/Case_Financials!$C$10</f>
        <v>3.8524590164</v>
      </c>
      <c r="D12" s="16">
        <f>D11/Case_Financials!$D$10</f>
        <v>5.0925925926</v>
      </c>
      <c r="E12" s="16">
        <f>E11/Case_Financials!$E$10</f>
        <v>9.2142857143</v>
      </c>
      <c r="F12" s="16">
        <f>F11/Case_Financials!$F$10</f>
        <v>30.2</v>
      </c>
      <c r="H12" s="10" t="s">
        <v>293</v>
      </c>
    </row>
    <row r="13" spans="1:8" x14ac:dyDescent="0.25">
      <c r="A13" s="7" t="s">
        <v>294</v>
      </c>
      <c r="C13" s="16">
        <f>Case_Financials!$C$10/Case_Financials!$C$13</f>
        <v>5.0833333333</v>
      </c>
      <c r="D13" s="16">
        <f>Case_Financials!$D$10/Case_Financials!$D$13</f>
        <v>4</v>
      </c>
      <c r="E13" s="16">
        <f>Case_Financials!$E$10/Case_Financials!$E$13</f>
        <v>2.1212121212</v>
      </c>
      <c r="F13" s="16">
        <f>Case_Financials!$F$10/Case_Financials!$F$13</f>
        <v>0.625</v>
      </c>
      <c r="H13" s="10" t="s">
        <v>295</v>
      </c>
    </row>
    <row r="14" spans="1:8" x14ac:dyDescent="0.25">
      <c r="A14" s="7" t="s">
        <v>296</v>
      </c>
      <c r="D14" s="33">
        <f>Case_Financials!$D$13/AVERAGE(C10,D10)</f>
        <v>0.045569620253</v>
      </c>
      <c r="E14" s="33">
        <f>Case_Financials!$E$13/AVERAGE(D10,E10)</f>
        <v>0.049811320755</v>
      </c>
      <c r="F14" s="33">
        <f>Case_Financials!$F$13/AVERAGE(E10,F10)</f>
        <v>0.053872053872</v>
      </c>
      <c r="H14" s="10" t="s">
        <v>297</v>
      </c>
    </row>
    <row r="15" spans="1:8" x14ac:dyDescent="0.25">
      <c r="A15" s="7" t="s">
        <v>298</v>
      </c>
      <c r="C15" s="33">
        <f>Case_Financials!$C$41/C10</f>
        <v>0.16071428571</v>
      </c>
      <c r="D15" s="33">
        <f>Case_Financials!$D$41/D10</f>
        <v>0.184</v>
      </c>
      <c r="E15" s="33">
        <f>Case_Financials!$E$41/E10</f>
        <v>0.20714285714</v>
      </c>
      <c r="F15" s="33">
        <f>Case_Financials!$F$41/F10</f>
        <v>0.22929936306</v>
      </c>
      <c r="H15" s="10" t="s">
        <v>299</v>
      </c>
    </row>
    <row r="17" spans="1:8" x14ac:dyDescent="0.25">
      <c r="A17" s="3" t="s">
        <v>300</v>
      </c>
      <c r="B17" s="4"/>
      <c r="C17" s="4"/>
      <c r="D17" s="4"/>
      <c r="E17" s="4"/>
      <c r="F17" s="4"/>
      <c r="G17" s="4"/>
      <c r="H17" s="4"/>
    </row>
    <row r="18" spans="3:6" x14ac:dyDescent="0.25">
      <c r="C18" s="6" t="s">
        <v>104</v>
      </c>
      <c r="D18" s="6" t="s">
        <v>105</v>
      </c>
      <c r="E18" s="6" t="s">
        <v>106</v>
      </c>
      <c r="F18" s="6" t="s">
        <v>107</v>
      </c>
    </row>
    <row r="19" spans="1:8" x14ac:dyDescent="0.25">
      <c r="A19" s="7" t="s">
        <v>301</v>
      </c>
      <c r="C19" s="20">
        <f>Case_Financials!$C$31+Case_Financials!$C$32+Case_Financials!$C$33-Case_Financials!$C$40-Case_Financials!$C$42</f>
        <v>173</v>
      </c>
      <c r="D19" s="20">
        <f>Case_Financials!$D$31+Case_Financials!$D$32+Case_Financials!$D$33-Case_Financials!$D$40-Case_Financials!$D$42</f>
        <v>182</v>
      </c>
      <c r="E19" s="20">
        <f>Case_Financials!$E$31+Case_Financials!$E$32+Case_Financials!$E$33-Case_Financials!$E$40-Case_Financials!$E$42</f>
        <v>203</v>
      </c>
      <c r="F19" s="20">
        <f>Case_Financials!$F$31+Case_Financials!$F$32+Case_Financials!$F$33-Case_Financials!$F$40-Case_Financials!$F$42</f>
        <v>214</v>
      </c>
      <c r="H19" s="10" t="s">
        <v>302</v>
      </c>
    </row>
    <row r="20" spans="1:6" x14ac:dyDescent="0.25">
      <c r="A20" s="26" t="s">
        <v>303</v>
      </c>
      <c r="D20" s="28">
        <f>(D19-C19)+Case_Financials!$D$67</f>
        <v>0</v>
      </c>
      <c r="E20" s="28">
        <f>(E19-D19)+Case_Financials!$E$67</f>
        <v>0</v>
      </c>
      <c r="F20" s="28">
        <f>(F19-E19)+Case_Financials!$F$67</f>
        <v>0</v>
      </c>
    </row>
    <row r="21" spans="1:8" x14ac:dyDescent="0.25">
      <c r="A21" s="7" t="s">
        <v>304</v>
      </c>
      <c r="C21" s="13">
        <f>Case_Financials!$C$32/Case_Financials!$C$7*365</f>
        <v>87.005813953</v>
      </c>
      <c r="D21" s="13">
        <f>Case_Financials!$D$32/Case_Financials!$D$7*365</f>
        <v>88.241758242</v>
      </c>
      <c r="E21" s="13">
        <f>Case_Financials!$E$32/Case_Financials!$E$7*365</f>
        <v>92.698412698</v>
      </c>
      <c r="F21" s="13">
        <f>Case_Financials!$F$32/Case_Financials!$F$7*365</f>
        <v>100.08064516</v>
      </c>
      <c r="H21" s="10" t="s">
        <v>305</v>
      </c>
    </row>
    <row r="22" spans="1:6" x14ac:dyDescent="0.25">
      <c r="A22" s="7" t="s">
        <v>306</v>
      </c>
      <c r="C22" s="20">
        <f>Case_Financials!$C$31/Case_Financials!$C$6*365</f>
        <v>47.608695652</v>
      </c>
      <c r="D22" s="20">
        <f>Case_Financials!$D$31/Case_Financials!$D$6*365</f>
        <v>47.858921162</v>
      </c>
      <c r="E22" s="20">
        <f>Case_Financials!$E$31/Case_Financials!$E$6*365</f>
        <v>49.853658537</v>
      </c>
      <c r="F22" s="20">
        <f>Case_Financials!$F$31/Case_Financials!$F$6*365</f>
        <v>52.756302521</v>
      </c>
    </row>
    <row r="23" spans="1:8" x14ac:dyDescent="0.25">
      <c r="A23" s="7" t="s">
        <v>307</v>
      </c>
      <c r="C23" s="20">
        <f>Case_Financials!$C$40/Case_Financials!$C$7*365</f>
        <v>70.029069767</v>
      </c>
      <c r="D23" s="20">
        <f>Case_Financials!$D$40/Case_Financials!$D$7*365</f>
        <v>71.395604396</v>
      </c>
      <c r="E23" s="20">
        <f>Case_Financials!$E$40/Case_Financials!$E$7*365</f>
        <v>72.613756614</v>
      </c>
      <c r="F23" s="20">
        <f>Case_Financials!$F$40/Case_Financials!$F$7*365</f>
        <v>76.532258065</v>
      </c>
      <c r="H23" s="10" t="s">
        <v>308</v>
      </c>
    </row>
    <row r="24" spans="1:6" x14ac:dyDescent="0.25">
      <c r="A24" s="7" t="s">
        <v>309</v>
      </c>
      <c r="C24" s="20">
        <f>C21+C22-C23</f>
        <v>64.585439838</v>
      </c>
      <c r="D24" s="20">
        <f>D21+D22-D23</f>
        <v>64.705075008</v>
      </c>
      <c r="E24" s="20">
        <f>E21+E22-E23</f>
        <v>69.938314621</v>
      </c>
      <c r="F24" s="20">
        <f>F21+F22-F23</f>
        <v>76.304689618</v>
      </c>
    </row>
    <row r="26" spans="1:8" x14ac:dyDescent="0.25">
      <c r="A26" s="3" t="s">
        <v>310</v>
      </c>
      <c r="B26" s="4"/>
      <c r="C26" s="4"/>
      <c r="D26" s="4"/>
      <c r="E26" s="4"/>
      <c r="F26" s="4"/>
      <c r="G26" s="4"/>
      <c r="H26" s="4"/>
    </row>
    <row r="27" spans="3:6" x14ac:dyDescent="0.25">
      <c r="C27" s="6" t="s">
        <v>104</v>
      </c>
      <c r="D27" s="6" t="s">
        <v>105</v>
      </c>
      <c r="E27" s="6" t="s">
        <v>106</v>
      </c>
      <c r="F27" s="6" t="s">
        <v>107</v>
      </c>
    </row>
    <row r="28" spans="1:8" x14ac:dyDescent="0.25">
      <c r="A28" s="7" t="s">
        <v>311</v>
      </c>
      <c r="C28" s="33">
        <f>Case_Financials!$C$58/Case_Financials!$C$54</f>
        <v>0.11147540984</v>
      </c>
      <c r="D28" s="33">
        <f>Case_Financials!$D$58/Case_Financials!$D$54</f>
        <v>0.092063492063</v>
      </c>
      <c r="E28" s="33">
        <f>Case_Financials!$E$58/Case_Financials!$E$54</f>
        <v>0.048780487805</v>
      </c>
      <c r="F28" s="33">
        <f>Case_Financials!$F$58/Case_Financials!$F$54</f>
        <v>0.0087719298246</v>
      </c>
      <c r="H28" s="10" t="s">
        <v>312</v>
      </c>
    </row>
    <row r="29" spans="1:8" x14ac:dyDescent="0.25">
      <c r="A29" s="7" t="s">
        <v>313</v>
      </c>
      <c r="C29" s="33">
        <f>Case_Financials!$C$59/Case_Financials!$C$55</f>
        <v>0.11428571429</v>
      </c>
      <c r="D29" s="33">
        <f>Case_Financials!$D$59/Case_Financials!$D$55</f>
        <v>0.112</v>
      </c>
      <c r="E29" s="33">
        <f>Case_Financials!$E$59/Case_Financials!$E$55</f>
        <v>0.095</v>
      </c>
      <c r="F29" s="33">
        <f>Case_Financials!$F$59/Case_Financials!$F$55</f>
        <v>0.081481481481</v>
      </c>
      <c r="H29" s="10" t="s">
        <v>314</v>
      </c>
    </row>
    <row r="30" spans="1:8" x14ac:dyDescent="0.25">
      <c r="A30" s="7" t="s">
        <v>315</v>
      </c>
      <c r="C30" s="33">
        <f>Case_Financials!$C$60/Case_Financials!$C$56</f>
        <v>0.073684210526</v>
      </c>
      <c r="D30" s="33">
        <f>Case_Financials!$D$60/Case_Financials!$D$56</f>
        <v>0.04</v>
      </c>
      <c r="E30" s="33">
        <f>Case_Financials!$E$60/Case_Financials!$E$56</f>
        <v>0.0093023255814</v>
      </c>
      <c r="F30" s="33">
        <f>Case_Financials!$F$60/Case_Financials!$F$56</f>
        <v>-0.060465116279</v>
      </c>
      <c r="H30" s="10" t="s">
        <v>316</v>
      </c>
    </row>
    <row r="32" spans="1:8" x14ac:dyDescent="0.25">
      <c r="A32" s="3" t="s">
        <v>317</v>
      </c>
      <c r="B32" s="4"/>
      <c r="C32" s="4"/>
      <c r="D32" s="4"/>
      <c r="E32" s="4"/>
      <c r="F32" s="4"/>
      <c r="G32" s="4"/>
      <c r="H32" s="4"/>
    </row>
    <row r="33" spans="1:4" x14ac:dyDescent="0.25">
      <c r="A33" s="5" t="s">
        <v>10</v>
      </c>
      <c r="C33" s="6" t="s">
        <v>318</v>
      </c>
      <c r="D33" s="6" t="s">
        <v>319</v>
      </c>
    </row>
    <row r="34" spans="1:3" x14ac:dyDescent="0.25">
      <c r="A34" s="24" t="s">
        <v>320</v>
      </c>
      <c r="C34" s="34">
        <f>Case_Financials!$C$10</f>
        <v>122</v>
      </c>
    </row>
    <row r="35" spans="1:8" x14ac:dyDescent="0.25">
      <c r="A35" s="7" t="s">
        <v>321</v>
      </c>
      <c r="C35" s="20">
        <f>(Case_Financials!$F$8-Case_Financials!$C$8)-Case_Digital!$F$9</f>
        <v>-43</v>
      </c>
      <c r="D35" s="33">
        <f>C35/(C41-C34)</f>
        <v>0.44329896907</v>
      </c>
      <c r="H35" s="10" t="s">
        <v>322</v>
      </c>
    </row>
    <row r="36" spans="1:4" x14ac:dyDescent="0.25">
      <c r="A36" s="7" t="s">
        <v>323</v>
      </c>
      <c r="C36" s="12">
        <f>Case_Digital!$F$9</f>
        <v>13</v>
      </c>
      <c r="D36" s="33">
        <f>C36/(C41-C34)</f>
        <v>-0.13402061856</v>
      </c>
    </row>
    <row r="37" spans="1:8" x14ac:dyDescent="0.25">
      <c r="A37" s="7" t="s">
        <v>324</v>
      </c>
      <c r="C37" s="20">
        <f>-(Case_Financials!$F$24-Case_Financials!$C$24)</f>
        <v>-40</v>
      </c>
      <c r="D37" s="33">
        <f>C37/(C41-C34)</f>
        <v>0.41237113402</v>
      </c>
      <c r="H37" s="10" t="s">
        <v>325</v>
      </c>
    </row>
    <row r="38" spans="1:4" x14ac:dyDescent="0.25">
      <c r="A38" s="7" t="s">
        <v>326</v>
      </c>
      <c r="C38" s="20">
        <f>-(Case_Financials!$F$22-Case_Financials!$C$22)</f>
        <v>-18</v>
      </c>
      <c r="D38" s="33">
        <f>C38/(C41-C34)</f>
        <v>0.18556701031</v>
      </c>
    </row>
    <row r="39" spans="1:4" x14ac:dyDescent="0.25">
      <c r="A39" s="7" t="s">
        <v>327</v>
      </c>
      <c r="C39" s="20">
        <f>-(Case_Financials!$F$23-Case_Financials!$C$23)</f>
        <v>-10</v>
      </c>
      <c r="D39" s="33">
        <f>C39/(C41-C34)</f>
        <v>0.10309278351</v>
      </c>
    </row>
    <row r="40" spans="1:4" x14ac:dyDescent="0.25">
      <c r="A40" s="7" t="s">
        <v>328</v>
      </c>
      <c r="C40" s="20">
        <f>-(Case_Financials!$F$25-Case_Financials!$C$25)</f>
        <v>1</v>
      </c>
      <c r="D40" s="33">
        <f>C40/(C41-C34)</f>
        <v>-0.010309278351</v>
      </c>
    </row>
    <row r="41" spans="1:3" x14ac:dyDescent="0.25">
      <c r="A41" s="24" t="s">
        <v>329</v>
      </c>
      <c r="C41" s="25">
        <f>SUM(C34:C40)</f>
        <v>25</v>
      </c>
    </row>
    <row r="42" spans="1:3" x14ac:dyDescent="0.25">
      <c r="A42" s="26" t="s">
        <v>330</v>
      </c>
      <c r="C42" s="28">
        <f>C41-Case_Financials!$F$10</f>
        <v>0</v>
      </c>
    </row>
    <row r="43" spans="1:8" x14ac:dyDescent="0.25">
      <c r="A43" s="7" t="s">
        <v>331</v>
      </c>
      <c r="C43" s="20">
        <f>Case_Financials!$F$58-Case_Financials!$C$58</f>
        <v>-63</v>
      </c>
      <c r="D43" s="33">
        <f>C43/(C41-C34)</f>
        <v>0.64948453608</v>
      </c>
      <c r="H43" s="10" t="s">
        <v>332</v>
      </c>
    </row>
    <row r="44" spans="1:4" x14ac:dyDescent="0.25">
      <c r="A44" s="7" t="s">
        <v>333</v>
      </c>
      <c r="C44" s="20">
        <f>Case_Financials!$F$59-Case_Financials!$C$59</f>
        <v>-7</v>
      </c>
      <c r="D44" s="33">
        <f>C44/(C41-C34)</f>
        <v>0.072164948454</v>
      </c>
    </row>
    <row r="45" spans="1:4" x14ac:dyDescent="0.25">
      <c r="A45" s="7" t="s">
        <v>334</v>
      </c>
      <c r="C45" s="20">
        <f>Case_Financials!$F$60-Case_Financials!$C$60</f>
        <v>-27</v>
      </c>
      <c r="D45" s="33">
        <f>C45/(C41-C34)</f>
        <v>0.27835051546</v>
      </c>
    </row>
    <row r="47" spans="1:8" x14ac:dyDescent="0.25">
      <c r="A47" s="3" t="s">
        <v>335</v>
      </c>
      <c r="B47" s="4"/>
      <c r="C47" s="4"/>
      <c r="D47" s="4"/>
      <c r="E47" s="4"/>
      <c r="F47" s="4"/>
      <c r="G47" s="4"/>
      <c r="H47" s="4"/>
    </row>
    <row r="48" spans="1:6" x14ac:dyDescent="0.25">
      <c r="A48" s="5" t="s">
        <v>10</v>
      </c>
      <c r="C48" s="6" t="s">
        <v>200</v>
      </c>
      <c r="D48" s="6" t="s">
        <v>201</v>
      </c>
      <c r="E48" s="6" t="s">
        <v>202</v>
      </c>
      <c r="F48" s="6" t="s">
        <v>336</v>
      </c>
    </row>
    <row r="49" spans="1:6" x14ac:dyDescent="0.25">
      <c r="A49" s="7" t="s">
        <v>337</v>
      </c>
      <c r="C49" s="12">
        <f>Case_Digital!$C$8</f>
        <v>10</v>
      </c>
      <c r="D49" s="12">
        <f>Case_Digital!$D$8</f>
        <v>12</v>
      </c>
      <c r="E49" s="12">
        <f>Case_Digital!$E$8</f>
        <v>14</v>
      </c>
      <c r="F49" s="12">
        <f>Case_Digital!$F$8</f>
        <v>36</v>
      </c>
    </row>
    <row r="50" spans="1:6" x14ac:dyDescent="0.25">
      <c r="A50" s="7" t="s">
        <v>338</v>
      </c>
      <c r="C50" s="12">
        <f>Case_Digital!$C$18</f>
        <v>3</v>
      </c>
      <c r="D50" s="12">
        <f>Case_Digital!$D$18</f>
        <v>4</v>
      </c>
      <c r="E50" s="12">
        <f>Case_Digital!$E$18</f>
        <v>6</v>
      </c>
      <c r="F50" s="12">
        <f>Case_Digital!$F$18</f>
        <v>13</v>
      </c>
    </row>
    <row r="51" spans="1:6" x14ac:dyDescent="0.25">
      <c r="A51" s="7" t="s">
        <v>339</v>
      </c>
      <c r="C51" s="12">
        <f>Case_Digital!$C$22</f>
        <v>7</v>
      </c>
      <c r="D51" s="12">
        <f>Case_Digital!$D$22</f>
        <v>8</v>
      </c>
      <c r="E51" s="12">
        <f>Case_Digital!$E$22</f>
        <v>8</v>
      </c>
      <c r="F51" s="12">
        <f>Case_Digital!$F$22</f>
        <v>23</v>
      </c>
    </row>
    <row r="52" spans="1:6" x14ac:dyDescent="0.25">
      <c r="A52" s="7" t="s">
        <v>340</v>
      </c>
      <c r="C52" s="12">
        <f>Case_Digital!$C$9</f>
        <v>5</v>
      </c>
      <c r="D52" s="12">
        <f>Case_Digital!$D$9</f>
        <v>7</v>
      </c>
      <c r="E52" s="12">
        <f>Case_Digital!$E$9</f>
        <v>1</v>
      </c>
      <c r="F52" s="12">
        <f>Case_Digital!$F$9</f>
        <v>13</v>
      </c>
    </row>
    <row r="53" spans="1:6" x14ac:dyDescent="0.25">
      <c r="A53" s="24" t="s">
        <v>341</v>
      </c>
      <c r="C53" s="25">
        <f>C52-C49</f>
        <v>-5</v>
      </c>
      <c r="D53" s="25">
        <f>D52-D49</f>
        <v>-5</v>
      </c>
      <c r="E53" s="25">
        <f>E52-E49</f>
        <v>-13</v>
      </c>
      <c r="F53" s="25">
        <f>F52-F49</f>
        <v>-23</v>
      </c>
    </row>
    <row r="54" spans="1:8" x14ac:dyDescent="0.25">
      <c r="A54" s="24" t="s">
        <v>342</v>
      </c>
      <c r="C54" s="35">
        <f>C52-C50</f>
        <v>2</v>
      </c>
      <c r="D54" s="35">
        <f>D52-D50</f>
        <v>3</v>
      </c>
      <c r="E54" s="35">
        <f>E52-E50</f>
        <v>-5</v>
      </c>
      <c r="F54" s="35">
        <f>F52-F50</f>
        <v>0</v>
      </c>
      <c r="H54" s="10" t="s">
        <v>343</v>
      </c>
    </row>
    <row r="55" spans="1:6" x14ac:dyDescent="0.25">
      <c r="A55" s="7" t="s">
        <v>344</v>
      </c>
      <c r="C55" s="36">
        <f>C52/C50</f>
        <v>1.6666666667</v>
      </c>
      <c r="D55" s="36">
        <f>D52/D50</f>
        <v>1.75</v>
      </c>
      <c r="E55" s="36">
        <f>E52/E50</f>
        <v>0.16666666667</v>
      </c>
      <c r="F55" s="36">
        <f>F52/F50</f>
        <v>1</v>
      </c>
    </row>
    <row r="56" spans="1:8" x14ac:dyDescent="0.25">
      <c r="A56" s="7" t="s">
        <v>345</v>
      </c>
      <c r="C56" s="33">
        <f>(Case_Digital!$C$34-Case_Digital!$C$36)/(Case_Digital!$C$34-Case_Digital!$C$35)</f>
        <v>0.6</v>
      </c>
      <c r="D56" s="33">
        <f>(Case_Digital!$D$34-Case_Digital!$D$36)/(Case_Digital!$D$34-Case_Digital!$D$35)</f>
        <v>0.48</v>
      </c>
      <c r="E56" s="33">
        <f>(Case_Digital!$E$34-Case_Digital!$E$36)/(Case_Digital!$E$34-Case_Digital!$E$35)</f>
        <v>-0.26666666667</v>
      </c>
      <c r="H56" s="10" t="s">
        <v>346</v>
      </c>
    </row>
    <row r="57" spans="1:6" x14ac:dyDescent="0.25">
      <c r="A57" s="7" t="s">
        <v>204</v>
      </c>
      <c r="C57" s="12">
        <f>Case_Digital!$C$6</f>
        <v>50</v>
      </c>
      <c r="D57" s="12">
        <f>Case_Digital!$D$6</f>
        <v>55</v>
      </c>
      <c r="E57" s="12">
        <f>Case_Digital!$E$6</f>
        <v>45</v>
      </c>
      <c r="F57" s="12">
        <f>Case_Digital!$F$6</f>
        <v>150</v>
      </c>
    </row>
    <row r="58" spans="1:8" x14ac:dyDescent="0.25">
      <c r="A58" s="7" t="s">
        <v>347</v>
      </c>
      <c r="C58" s="20">
        <f>IF(C54&gt;0,C57/C54,"never")</f>
        <v>25</v>
      </c>
      <c r="D58" s="20">
        <f>IF(D54&gt;0,D57/D54,"never")</f>
        <v>18.333333333</v>
      </c>
      <c r="E58" s="20" t="str">
        <f>IF(E54&gt;0,E57/E54,"never")</f>
        <v>never</v>
      </c>
      <c r="H58" s="10" t="s">
        <v>348</v>
      </c>
    </row>
    <row r="59" spans="1:8" x14ac:dyDescent="0.25">
      <c r="A59" s="7" t="s">
        <v>349</v>
      </c>
      <c r="C59" s="20">
        <f>Case_Digital!$F$8+Case_Digital!$C$27</f>
        <v>48</v>
      </c>
      <c r="H59" s="10" t="s">
        <v>350</v>
      </c>
    </row>
    <row r="60" spans="1:3" x14ac:dyDescent="0.25">
      <c r="A60" s="26" t="s">
        <v>351</v>
      </c>
      <c r="C60" s="28">
        <f>C59-Case_Financials!$F$24</f>
        <v>0</v>
      </c>
    </row>
    <row r="61" spans="1:8" x14ac:dyDescent="0.25">
      <c r="A61" s="24" t="s">
        <v>352</v>
      </c>
      <c r="C61" s="35">
        <f>Case_Digital!$F$9-C59</f>
        <v>-35</v>
      </c>
      <c r="H61" s="10" t="s">
        <v>353</v>
      </c>
    </row>
    <row r="63" spans="1:8" x14ac:dyDescent="0.25">
      <c r="A63" s="3" t="s">
        <v>354</v>
      </c>
      <c r="B63" s="4"/>
      <c r="C63" s="4"/>
      <c r="D63" s="4"/>
      <c r="E63" s="4"/>
      <c r="F63" s="4"/>
      <c r="G63" s="4"/>
      <c r="H63" s="4"/>
    </row>
    <row r="64" spans="1:3" x14ac:dyDescent="0.25">
      <c r="A64" s="7" t="s">
        <v>355</v>
      </c>
      <c r="C64" s="12">
        <f>Case_Digital!$F$22</f>
        <v>23</v>
      </c>
    </row>
    <row r="65" spans="1:3" x14ac:dyDescent="0.25">
      <c r="A65" s="7" t="s">
        <v>356</v>
      </c>
      <c r="C65" s="12">
        <f>Case_Digital!$F$26</f>
        <v>6</v>
      </c>
    </row>
    <row r="66" spans="1:8" x14ac:dyDescent="0.25">
      <c r="A66" s="24" t="s">
        <v>357</v>
      </c>
      <c r="C66" s="35">
        <f>C64-C65</f>
        <v>17</v>
      </c>
      <c r="H66" s="10" t="s">
        <v>358</v>
      </c>
    </row>
    <row r="68" spans="1:8" x14ac:dyDescent="0.25">
      <c r="A68" s="3" t="s">
        <v>359</v>
      </c>
      <c r="B68" s="4"/>
      <c r="C68" s="4"/>
      <c r="D68" s="4"/>
      <c r="E68" s="4"/>
      <c r="F68" s="4"/>
      <c r="G68" s="4"/>
      <c r="H68" s="4"/>
    </row>
    <row r="69" spans="1:8" x14ac:dyDescent="0.25">
      <c r="A69" s="7" t="s">
        <v>360</v>
      </c>
      <c r="C69" s="20">
        <f>Case_Digital!$F$8*Assumptions!$C$7</f>
        <v>24</v>
      </c>
      <c r="H69" s="10" t="s">
        <v>361</v>
      </c>
    </row>
    <row r="70" spans="1:8" x14ac:dyDescent="0.25">
      <c r="A70" s="7" t="s">
        <v>362</v>
      </c>
      <c r="C70" s="20">
        <f>Case_Digital!$C$27*Case_Financials!$F$54/Case_Financials!$F$6</f>
        <v>5.7478991597</v>
      </c>
      <c r="H70" s="10" t="s">
        <v>363</v>
      </c>
    </row>
    <row r="71" spans="1:3" x14ac:dyDescent="0.25">
      <c r="A71" s="7" t="s">
        <v>364</v>
      </c>
      <c r="C71" s="20">
        <f>Case_Digital!$F$9*Assumptions!$C$7</f>
        <v>8.6666666667</v>
      </c>
    </row>
    <row r="72" spans="1:3" x14ac:dyDescent="0.25">
      <c r="A72" s="24" t="s">
        <v>365</v>
      </c>
      <c r="C72" s="25">
        <f>C71-C69-C70</f>
        <v>-21.081232493</v>
      </c>
    </row>
    <row r="73" spans="1:3" x14ac:dyDescent="0.25">
      <c r="A73" s="7" t="s">
        <v>366</v>
      </c>
      <c r="C73" s="20">
        <f>Case_Financials!$F$58-C72</f>
        <v>26.081232493</v>
      </c>
    </row>
    <row r="74" spans="1:8" x14ac:dyDescent="0.25">
      <c r="A74" s="7" t="s">
        <v>367</v>
      </c>
      <c r="C74" s="33">
        <f>C73/Case_Financials!$F$54</f>
        <v>0.045756548233</v>
      </c>
      <c r="H74" s="10" t="s">
        <v>368</v>
      </c>
    </row>
    <row r="76" spans="1:8" x14ac:dyDescent="0.25">
      <c r="A76" s="3" t="s">
        <v>369</v>
      </c>
      <c r="B76" s="4"/>
      <c r="C76" s="4"/>
      <c r="D76" s="4"/>
      <c r="E76" s="4"/>
      <c r="F76" s="4"/>
      <c r="G76" s="4"/>
      <c r="H76" s="4"/>
    </row>
    <row r="77" spans="1:8" x14ac:dyDescent="0.25">
      <c r="A77" s="7" t="s">
        <v>370</v>
      </c>
      <c r="C77" s="20">
        <f>Case_Digital!$D$9/(Case_Digital!$D$34-Case_Digital!$D$36)</f>
        <v>583.33333333</v>
      </c>
      <c r="H77" s="10" t="s">
        <v>371</v>
      </c>
    </row>
    <row r="78" spans="1:8" x14ac:dyDescent="0.25">
      <c r="A78" s="7" t="s">
        <v>372</v>
      </c>
      <c r="C78" s="15">
        <f>C77/Case_Financials!$F$7</f>
        <v>0.62724014337</v>
      </c>
      <c r="H78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workbookViewId="0" showGridLines="0"/>
  </sheetViews>
  <sheetFormatPr defaultRowHeight="15" outlineLevelRow="0" outlineLevelCol="0" x14ac:dyDescent="55"/>
  <cols>
    <col min="1" max="1" width="66" customWidth="1"/>
    <col min="3" max="3" width="11" customWidth="1"/>
    <col min="4" max="4" width="120" customWidth="1"/>
  </cols>
  <sheetData>
    <row r="1" spans="1:1" x14ac:dyDescent="0.25">
      <c r="A1" s="1" t="s">
        <v>374</v>
      </c>
    </row>
    <row r="2" spans="1:1" x14ac:dyDescent="0.25">
      <c r="A2" s="2" t="s">
        <v>375</v>
      </c>
    </row>
    <row r="4" spans="1:4" x14ac:dyDescent="0.25">
      <c r="A4" s="5" t="s">
        <v>376</v>
      </c>
      <c r="B4" s="5" t="s">
        <v>4</v>
      </c>
      <c r="C4" s="6" t="s">
        <v>51</v>
      </c>
      <c r="D4" s="6" t="s">
        <v>377</v>
      </c>
    </row>
    <row r="5" spans="1:4" x14ac:dyDescent="0.25">
      <c r="A5" s="3" t="s">
        <v>378</v>
      </c>
      <c r="B5" s="4"/>
      <c r="C5" s="4"/>
      <c r="D5" s="4"/>
    </row>
    <row r="6" spans="1:4" x14ac:dyDescent="0.25">
      <c r="A6" s="7" t="s">
        <v>379</v>
      </c>
      <c r="C6" s="37">
        <v>0.75</v>
      </c>
      <c r="D6" s="10" t="s">
        <v>380</v>
      </c>
    </row>
    <row r="7" spans="1:4" x14ac:dyDescent="0.25">
      <c r="A7" s="7" t="s">
        <v>381</v>
      </c>
      <c r="C7" s="30">
        <v>0.6666666666666666</v>
      </c>
      <c r="D7" s="10" t="s">
        <v>382</v>
      </c>
    </row>
    <row r="8" spans="1:4" x14ac:dyDescent="0.25">
      <c r="A8" s="7" t="s">
        <v>383</v>
      </c>
      <c r="C8" s="30">
        <v>0.67</v>
      </c>
      <c r="D8" s="10" t="s">
        <v>384</v>
      </c>
    </row>
    <row r="9" spans="1:4" x14ac:dyDescent="0.25">
      <c r="A9" s="7" t="s">
        <v>385</v>
      </c>
      <c r="C9" s="38">
        <f>Diagnosis!$F$14</f>
        <v>0.053872053872</v>
      </c>
      <c r="D9" s="10" t="s">
        <v>386</v>
      </c>
    </row>
    <row r="10" spans="1:4" x14ac:dyDescent="0.25">
      <c r="A10" s="7" t="s">
        <v>387</v>
      </c>
      <c r="C10" s="37">
        <v>0.03</v>
      </c>
      <c r="D10" s="10" t="s">
        <v>388</v>
      </c>
    </row>
    <row r="11" spans="1:4" x14ac:dyDescent="0.25">
      <c r="A11" s="7" t="s">
        <v>389</v>
      </c>
      <c r="C11" s="23">
        <v>30</v>
      </c>
      <c r="D11" s="10" t="s">
        <v>390</v>
      </c>
    </row>
    <row r="12" spans="1:4" x14ac:dyDescent="0.25">
      <c r="A12" s="7" t="s">
        <v>391</v>
      </c>
      <c r="C12" s="23">
        <v>0</v>
      </c>
      <c r="D12" s="10" t="s">
        <v>392</v>
      </c>
    </row>
    <row r="13" spans="1:4" x14ac:dyDescent="0.25">
      <c r="A13" s="7" t="s">
        <v>393</v>
      </c>
      <c r="C13" s="12">
        <f>Case_Financials!$F$11</f>
        <v>90</v>
      </c>
      <c r="D13" s="10" t="s">
        <v>394</v>
      </c>
    </row>
    <row r="14" spans="1:4" x14ac:dyDescent="0.25">
      <c r="A14" s="7" t="s">
        <v>395</v>
      </c>
      <c r="C14" s="23">
        <v>10</v>
      </c>
      <c r="D14" s="10" t="s">
        <v>396</v>
      </c>
    </row>
    <row r="15" spans="1:4" x14ac:dyDescent="0.25">
      <c r="A15" s="7" t="s">
        <v>397</v>
      </c>
      <c r="C15" s="18" t="s">
        <v>398</v>
      </c>
      <c r="D15" s="10" t="s">
        <v>399</v>
      </c>
    </row>
    <row r="16" spans="1:4" x14ac:dyDescent="0.25">
      <c r="A16" s="3" t="s">
        <v>400</v>
      </c>
      <c r="B16" s="4"/>
      <c r="C16" s="4"/>
      <c r="D16" s="4"/>
    </row>
    <row r="17" spans="1:4" x14ac:dyDescent="0.25">
      <c r="A17" s="7" t="s">
        <v>401</v>
      </c>
      <c r="C17" s="23">
        <v>25</v>
      </c>
      <c r="D17" s="10" t="s">
        <v>402</v>
      </c>
    </row>
    <row r="18" spans="1:4" x14ac:dyDescent="0.25">
      <c r="A18" s="7" t="s">
        <v>403</v>
      </c>
      <c r="C18" s="12">
        <f>Case_Digital!$F$10</f>
        <v>30</v>
      </c>
      <c r="D18" s="10" t="s">
        <v>404</v>
      </c>
    </row>
    <row r="19" spans="1:4" x14ac:dyDescent="0.25">
      <c r="A19" s="7" t="s">
        <v>405</v>
      </c>
      <c r="C19" s="30">
        <v>0.6666666666666666</v>
      </c>
      <c r="D19" s="10" t="s">
        <v>406</v>
      </c>
    </row>
    <row r="20" spans="1:4" x14ac:dyDescent="0.25">
      <c r="A20" s="3" t="s">
        <v>407</v>
      </c>
      <c r="B20" s="4"/>
      <c r="C20" s="4"/>
      <c r="D20" s="4"/>
    </row>
    <row r="21" spans="1:4" x14ac:dyDescent="0.25">
      <c r="A21" s="7" t="s">
        <v>408</v>
      </c>
      <c r="C21" s="23">
        <v>45</v>
      </c>
      <c r="D21" s="10" t="s">
        <v>409</v>
      </c>
    </row>
    <row r="22" spans="1:4" x14ac:dyDescent="0.25">
      <c r="A22" s="7" t="s">
        <v>410</v>
      </c>
      <c r="C22" s="39">
        <v>10</v>
      </c>
      <c r="D22" s="10" t="s">
        <v>411</v>
      </c>
    </row>
    <row r="23" spans="1:4" x14ac:dyDescent="0.25">
      <c r="A23" s="3" t="s">
        <v>412</v>
      </c>
      <c r="B23" s="4"/>
      <c r="C23" s="4"/>
      <c r="D23" s="4"/>
    </row>
    <row r="24" spans="1:4" x14ac:dyDescent="0.25">
      <c r="A24" s="7" t="s">
        <v>413</v>
      </c>
      <c r="C24" s="23">
        <v>10</v>
      </c>
      <c r="D24" s="10" t="s">
        <v>414</v>
      </c>
    </row>
    <row r="25" spans="1:4" x14ac:dyDescent="0.25">
      <c r="A25" s="7" t="s">
        <v>415</v>
      </c>
      <c r="C25" s="23">
        <v>3</v>
      </c>
      <c r="D25" s="10" t="s">
        <v>416</v>
      </c>
    </row>
    <row r="26" spans="1:4" x14ac:dyDescent="0.25">
      <c r="A26" s="7" t="s">
        <v>417</v>
      </c>
      <c r="C26" s="23">
        <v>0.5</v>
      </c>
      <c r="D26" s="10" t="s">
        <v>418</v>
      </c>
    </row>
    <row r="27" spans="1:4" x14ac:dyDescent="0.25">
      <c r="A27" s="7" t="s">
        <v>419</v>
      </c>
      <c r="C27" s="23">
        <v>1</v>
      </c>
      <c r="D27" s="10" t="s">
        <v>420</v>
      </c>
    </row>
    <row r="28" spans="1:4" x14ac:dyDescent="0.25">
      <c r="A28" s="7" t="s">
        <v>421</v>
      </c>
      <c r="C28" s="23">
        <v>0.5</v>
      </c>
      <c r="D28" s="10" t="s">
        <v>422</v>
      </c>
    </row>
    <row r="29" spans="1:4" x14ac:dyDescent="0.25">
      <c r="A29" s="7" t="s">
        <v>423</v>
      </c>
      <c r="C29" s="30">
        <v>1</v>
      </c>
      <c r="D29" s="10" t="s">
        <v>424</v>
      </c>
    </row>
    <row r="30" spans="1:4" x14ac:dyDescent="0.25">
      <c r="A30" s="7" t="s">
        <v>425</v>
      </c>
      <c r="C30" s="30">
        <v>0.5</v>
      </c>
      <c r="D30" s="10" t="s">
        <v>426</v>
      </c>
    </row>
    <row r="31" spans="1:4" x14ac:dyDescent="0.25">
      <c r="A31" s="7" t="s">
        <v>427</v>
      </c>
      <c r="C31" s="37">
        <v>0</v>
      </c>
      <c r="D31" s="10" t="s">
        <v>428</v>
      </c>
    </row>
    <row r="32" spans="1:4" x14ac:dyDescent="0.25">
      <c r="A32" s="7" t="s">
        <v>429</v>
      </c>
      <c r="C32" s="30">
        <v>0.4</v>
      </c>
      <c r="D32" s="10" t="s">
        <v>430</v>
      </c>
    </row>
    <row r="33" spans="1:4" x14ac:dyDescent="0.25">
      <c r="A33" s="7" t="s">
        <v>431</v>
      </c>
      <c r="C33" s="23">
        <v>0.5</v>
      </c>
      <c r="D33" s="10" t="s">
        <v>432</v>
      </c>
    </row>
    <row r="34" spans="1:4" x14ac:dyDescent="0.25">
      <c r="A34" s="3" t="s">
        <v>433</v>
      </c>
      <c r="B34" s="4"/>
      <c r="C34" s="4"/>
      <c r="D34" s="4"/>
    </row>
    <row r="35" spans="1:4" x14ac:dyDescent="0.25">
      <c r="A35" s="7" t="s">
        <v>434</v>
      </c>
      <c r="C35" s="37">
        <v>0.075</v>
      </c>
      <c r="D35" s="10" t="s">
        <v>435</v>
      </c>
    </row>
    <row r="36" spans="1:4" x14ac:dyDescent="0.25">
      <c r="A36" s="7" t="s">
        <v>436</v>
      </c>
      <c r="C36" s="23">
        <v>0.5</v>
      </c>
      <c r="D36" s="10" t="s">
        <v>437</v>
      </c>
    </row>
    <row r="37" spans="1:4" x14ac:dyDescent="0.25">
      <c r="A37" s="7" t="s">
        <v>438</v>
      </c>
      <c r="C37" s="29">
        <v>150</v>
      </c>
      <c r="D37" s="10" t="s">
        <v>439</v>
      </c>
    </row>
    <row r="38" spans="1:4" x14ac:dyDescent="0.25">
      <c r="A38" s="7" t="s">
        <v>440</v>
      </c>
      <c r="C38" s="30">
        <v>0.7</v>
      </c>
      <c r="D38" s="10" t="s">
        <v>441</v>
      </c>
    </row>
    <row r="39" spans="1:4" x14ac:dyDescent="0.25">
      <c r="A39" s="7" t="s">
        <v>442</v>
      </c>
      <c r="C39" s="30">
        <v>0.3</v>
      </c>
      <c r="D39" s="10" t="s">
        <v>443</v>
      </c>
    </row>
    <row r="40" spans="1:4" x14ac:dyDescent="0.25">
      <c r="A40" s="7" t="s">
        <v>444</v>
      </c>
      <c r="C40" s="23">
        <v>2</v>
      </c>
      <c r="D40" s="10" t="s">
        <v>445</v>
      </c>
    </row>
    <row r="41" spans="1:4" x14ac:dyDescent="0.25">
      <c r="A41" s="7" t="s">
        <v>446</v>
      </c>
      <c r="C41" s="12">
        <f>Case_Digital!$C$10</f>
        <v>8</v>
      </c>
      <c r="D41" s="10" t="s">
        <v>447</v>
      </c>
    </row>
    <row r="42" spans="1:4" x14ac:dyDescent="0.25">
      <c r="A42" s="7" t="s">
        <v>448</v>
      </c>
      <c r="C42" s="37">
        <v>0.042</v>
      </c>
      <c r="D42" s="10" t="s">
        <v>449</v>
      </c>
    </row>
    <row r="43" spans="1:4" x14ac:dyDescent="0.25">
      <c r="A43" s="7" t="s">
        <v>450</v>
      </c>
      <c r="C43" s="23">
        <v>0.5</v>
      </c>
      <c r="D43" s="10" t="s">
        <v>451</v>
      </c>
    </row>
    <row r="44" spans="1:4" x14ac:dyDescent="0.25">
      <c r="A44" s="7" t="s">
        <v>452</v>
      </c>
      <c r="C44" s="29">
        <v>3</v>
      </c>
      <c r="D44" s="10" t="s">
        <v>453</v>
      </c>
    </row>
    <row r="45" spans="1:4" x14ac:dyDescent="0.25">
      <c r="A45" s="7" t="s">
        <v>454</v>
      </c>
      <c r="C45" s="37">
        <v>0.5</v>
      </c>
      <c r="D45" s="10" t="s">
        <v>455</v>
      </c>
    </row>
    <row r="46" spans="1:4" x14ac:dyDescent="0.25">
      <c r="A46" s="7" t="s">
        <v>456</v>
      </c>
      <c r="C46" s="23">
        <v>0.8</v>
      </c>
      <c r="D46" s="10" t="s">
        <v>457</v>
      </c>
    </row>
    <row r="47" spans="1:4" x14ac:dyDescent="0.25">
      <c r="A47" s="7" t="s">
        <v>458</v>
      </c>
      <c r="C47" s="23">
        <v>4</v>
      </c>
      <c r="D47" s="10" t="s">
        <v>459</v>
      </c>
    </row>
    <row r="48" spans="1:4" x14ac:dyDescent="0.25">
      <c r="A48" s="3" t="s">
        <v>460</v>
      </c>
      <c r="B48" s="4"/>
      <c r="C48" s="4"/>
      <c r="D48" s="4"/>
    </row>
    <row r="49" spans="1:4" x14ac:dyDescent="0.25">
      <c r="A49" s="7" t="s">
        <v>461</v>
      </c>
      <c r="C49" s="37">
        <v>0.06</v>
      </c>
      <c r="D49" s="10" t="s">
        <v>462</v>
      </c>
    </row>
    <row r="50" spans="1:4" x14ac:dyDescent="0.25">
      <c r="A50" s="7" t="s">
        <v>463</v>
      </c>
      <c r="C50" s="30">
        <v>0.03</v>
      </c>
      <c r="D50" s="10" t="s">
        <v>464</v>
      </c>
    </row>
    <row r="51" spans="1:4" x14ac:dyDescent="0.25">
      <c r="A51" s="7" t="s">
        <v>465</v>
      </c>
      <c r="C51" s="37">
        <v>0.06</v>
      </c>
      <c r="D51" s="10" t="s">
        <v>466</v>
      </c>
    </row>
    <row r="52" spans="1:3" x14ac:dyDescent="0.25">
      <c r="A52" s="7" t="s">
        <v>467</v>
      </c>
      <c r="C52" s="23">
        <v>0.8</v>
      </c>
    </row>
    <row r="53" spans="1:3" x14ac:dyDescent="0.25">
      <c r="A53" s="7" t="s">
        <v>468</v>
      </c>
      <c r="C53" s="23">
        <v>1</v>
      </c>
    </row>
    <row r="54" spans="1:4" x14ac:dyDescent="0.25">
      <c r="A54" s="7" t="s">
        <v>469</v>
      </c>
      <c r="C54" s="23">
        <v>3</v>
      </c>
      <c r="D54" s="10" t="s">
        <v>470</v>
      </c>
    </row>
    <row r="55" spans="1:4" x14ac:dyDescent="0.25">
      <c r="A55" s="7" t="s">
        <v>471</v>
      </c>
      <c r="C55" s="30">
        <v>0.02</v>
      </c>
      <c r="D55" s="10" t="s">
        <v>472</v>
      </c>
    </row>
    <row r="56" spans="1:3" x14ac:dyDescent="0.25">
      <c r="A56" s="7" t="s">
        <v>473</v>
      </c>
      <c r="C56" s="23">
        <v>0.4</v>
      </c>
    </row>
    <row r="57" spans="1:3" x14ac:dyDescent="0.25">
      <c r="A57" s="7" t="s">
        <v>474</v>
      </c>
      <c r="C57" s="23">
        <v>0.8</v>
      </c>
    </row>
    <row r="58" spans="1:3" x14ac:dyDescent="0.25">
      <c r="A58" s="7" t="s">
        <v>475</v>
      </c>
      <c r="C58" s="23">
        <v>2</v>
      </c>
    </row>
    <row r="59" spans="1:4" x14ac:dyDescent="0.25">
      <c r="A59" s="7" t="s">
        <v>476</v>
      </c>
      <c r="C59" s="30">
        <v>0.7</v>
      </c>
      <c r="D59" s="10" t="s">
        <v>477</v>
      </c>
    </row>
    <row r="60" spans="1:4" x14ac:dyDescent="0.25">
      <c r="A60" s="7" t="s">
        <v>478</v>
      </c>
      <c r="C60" s="37">
        <v>0.0125</v>
      </c>
      <c r="D60" s="10" t="s">
        <v>479</v>
      </c>
    </row>
    <row r="61" spans="1:3" x14ac:dyDescent="0.25">
      <c r="A61" s="7" t="s">
        <v>480</v>
      </c>
      <c r="C61" s="23">
        <v>0.5</v>
      </c>
    </row>
    <row r="62" spans="1:3" x14ac:dyDescent="0.25">
      <c r="A62" s="7" t="s">
        <v>481</v>
      </c>
      <c r="C62" s="23">
        <v>1</v>
      </c>
    </row>
    <row r="63" spans="1:4" x14ac:dyDescent="0.25">
      <c r="A63" s="7" t="s">
        <v>482</v>
      </c>
      <c r="C63" s="37">
        <v>0.005</v>
      </c>
      <c r="D63" s="10" t="s">
        <v>483</v>
      </c>
    </row>
    <row r="64" spans="1:4" x14ac:dyDescent="0.25">
      <c r="A64" s="7" t="s">
        <v>484</v>
      </c>
      <c r="C64" s="30">
        <v>0.005</v>
      </c>
      <c r="D64" s="10" t="s">
        <v>485</v>
      </c>
    </row>
    <row r="65" spans="1:4" x14ac:dyDescent="0.25">
      <c r="A65" s="7" t="s">
        <v>486</v>
      </c>
      <c r="C65" s="37">
        <v>0.01</v>
      </c>
      <c r="D65" s="10" t="s">
        <v>487</v>
      </c>
    </row>
    <row r="66" spans="1:4" x14ac:dyDescent="0.25">
      <c r="A66" s="7" t="s">
        <v>488</v>
      </c>
      <c r="C66" s="23">
        <v>0.7</v>
      </c>
      <c r="D66" s="10" t="s">
        <v>489</v>
      </c>
    </row>
    <row r="67" spans="1:3" x14ac:dyDescent="0.25">
      <c r="A67" s="7" t="s">
        <v>490</v>
      </c>
      <c r="C67" s="23">
        <v>1</v>
      </c>
    </row>
    <row r="68" spans="1:4" x14ac:dyDescent="0.25">
      <c r="A68" s="7" t="s">
        <v>491</v>
      </c>
      <c r="C68" s="30">
        <v>0.01</v>
      </c>
      <c r="D68" s="10" t="s">
        <v>492</v>
      </c>
    </row>
    <row r="69" spans="1:4" x14ac:dyDescent="0.25">
      <c r="A69" s="7" t="s">
        <v>493</v>
      </c>
      <c r="C69" s="30">
        <v>0.2</v>
      </c>
      <c r="D69" s="10" t="s">
        <v>494</v>
      </c>
    </row>
    <row r="70" spans="1:3" x14ac:dyDescent="0.25">
      <c r="A70" s="7" t="s">
        <v>495</v>
      </c>
      <c r="C70" s="23">
        <v>1</v>
      </c>
    </row>
    <row r="71" spans="1:3" x14ac:dyDescent="0.25">
      <c r="A71" s="7" t="s">
        <v>496</v>
      </c>
      <c r="C71" s="23">
        <v>2</v>
      </c>
    </row>
    <row r="72" spans="1:4" x14ac:dyDescent="0.25">
      <c r="A72" s="7" t="s">
        <v>497</v>
      </c>
      <c r="C72" s="20">
        <f>Case_Financials!$F$22+Case_Financials!$F$23</f>
        <v>153</v>
      </c>
      <c r="D72" s="10" t="s">
        <v>498</v>
      </c>
    </row>
    <row r="73" spans="1:4" x14ac:dyDescent="0.25">
      <c r="A73" s="7" t="s">
        <v>499</v>
      </c>
      <c r="C73" s="37">
        <v>0.04</v>
      </c>
      <c r="D73" s="10" t="s">
        <v>500</v>
      </c>
    </row>
    <row r="74" spans="1:4" x14ac:dyDescent="0.25">
      <c r="A74" s="7" t="s">
        <v>501</v>
      </c>
      <c r="C74" s="23">
        <v>1</v>
      </c>
      <c r="D74" s="10" t="s">
        <v>502</v>
      </c>
    </row>
    <row r="75" spans="1:3" x14ac:dyDescent="0.25">
      <c r="A75" s="7" t="s">
        <v>503</v>
      </c>
      <c r="C75" s="23">
        <v>1</v>
      </c>
    </row>
    <row r="76" spans="1:4" x14ac:dyDescent="0.25">
      <c r="A76" s="3" t="s">
        <v>504</v>
      </c>
      <c r="B76" s="4"/>
      <c r="C76" s="4"/>
      <c r="D76" s="4"/>
    </row>
    <row r="77" spans="1:4" x14ac:dyDescent="0.25">
      <c r="A77" s="7" t="s">
        <v>505</v>
      </c>
      <c r="C77" s="30">
        <v>0.5</v>
      </c>
      <c r="D77" s="10" t="s">
        <v>506</v>
      </c>
    </row>
    <row r="78" spans="1:4" x14ac:dyDescent="0.25">
      <c r="A78" s="7" t="s">
        <v>507</v>
      </c>
      <c r="C78" s="30">
        <v>0.25</v>
      </c>
      <c r="D78" s="10" t="s">
        <v>508</v>
      </c>
    </row>
    <row r="79" spans="1:4" x14ac:dyDescent="0.25">
      <c r="A79" s="3" t="s">
        <v>509</v>
      </c>
      <c r="B79" s="4"/>
      <c r="C79" s="4"/>
      <c r="D79" s="4"/>
    </row>
    <row r="80" spans="1:4" x14ac:dyDescent="0.25">
      <c r="A80" s="7" t="s">
        <v>510</v>
      </c>
      <c r="C80" s="23">
        <v>96</v>
      </c>
      <c r="D80" s="10" t="s">
        <v>511</v>
      </c>
    </row>
    <row r="81" spans="1:4" x14ac:dyDescent="0.25">
      <c r="A81" s="7" t="s">
        <v>512</v>
      </c>
      <c r="C81" s="39">
        <v>90</v>
      </c>
      <c r="D81" s="10" t="s">
        <v>513</v>
      </c>
    </row>
    <row r="82" spans="1:4" x14ac:dyDescent="0.25">
      <c r="A82" s="7" t="s">
        <v>514</v>
      </c>
      <c r="C82" s="23">
        <v>51</v>
      </c>
      <c r="D82" s="10" t="s">
        <v>515</v>
      </c>
    </row>
    <row r="83" spans="1:4" x14ac:dyDescent="0.25">
      <c r="A83" s="7" t="s">
        <v>516</v>
      </c>
      <c r="C83" s="23">
        <v>49</v>
      </c>
      <c r="D83" s="10" t="s">
        <v>517</v>
      </c>
    </row>
    <row r="84" spans="1:4" x14ac:dyDescent="0.25">
      <c r="A84" s="3" t="s">
        <v>518</v>
      </c>
      <c r="B84" s="4"/>
      <c r="C84" s="4"/>
      <c r="D84" s="4"/>
    </row>
    <row r="85" spans="1:4" x14ac:dyDescent="0.25">
      <c r="A85" s="7" t="s">
        <v>519</v>
      </c>
      <c r="C85" s="23">
        <v>20</v>
      </c>
      <c r="D85" s="10" t="s">
        <v>520</v>
      </c>
    </row>
    <row r="86" spans="1:4" x14ac:dyDescent="0.25">
      <c r="A86" s="7" t="s">
        <v>521</v>
      </c>
      <c r="C86" s="23">
        <v>40</v>
      </c>
      <c r="D86" s="10" t="s">
        <v>522</v>
      </c>
    </row>
    <row r="87" spans="1:4" x14ac:dyDescent="0.25">
      <c r="A87" s="7" t="s">
        <v>523</v>
      </c>
      <c r="C87" s="23">
        <v>25</v>
      </c>
      <c r="D87" s="10" t="s">
        <v>524</v>
      </c>
    </row>
    <row r="88" spans="1:4" x14ac:dyDescent="0.25">
      <c r="A88" s="3" t="s">
        <v>525</v>
      </c>
      <c r="B88" s="4"/>
      <c r="C88" s="4"/>
      <c r="D88" s="4"/>
    </row>
    <row r="89" spans="1:4" x14ac:dyDescent="0.25">
      <c r="A89" s="7" t="s">
        <v>526</v>
      </c>
      <c r="C89" s="30">
        <v>0.25</v>
      </c>
      <c r="D89" s="10" t="s">
        <v>527</v>
      </c>
    </row>
    <row r="90" spans="1:4" x14ac:dyDescent="0.25">
      <c r="A90" s="3" t="s">
        <v>528</v>
      </c>
      <c r="B90" s="4"/>
      <c r="C90" s="4"/>
      <c r="D90" s="4"/>
    </row>
    <row r="91" spans="1:4" x14ac:dyDescent="0.25">
      <c r="A91" s="7" t="s">
        <v>529</v>
      </c>
      <c r="C91" s="23">
        <v>0</v>
      </c>
      <c r="D91" s="10" t="s">
        <v>530</v>
      </c>
    </row>
    <row r="92" spans="1:4" x14ac:dyDescent="0.25">
      <c r="A92" s="7" t="s">
        <v>531</v>
      </c>
      <c r="C92" s="40">
        <v>1</v>
      </c>
      <c r="D92" s="10" t="s">
        <v>532</v>
      </c>
    </row>
    <row r="93" spans="1:4" x14ac:dyDescent="0.25">
      <c r="A93" s="7" t="s">
        <v>533</v>
      </c>
      <c r="C93" s="20">
        <f>Assumptions!$C$21*Case_Ops!$C$5/Case_Ops!$F$5</f>
        <v>20.454545455</v>
      </c>
      <c r="D93" s="10" t="s">
        <v>534</v>
      </c>
    </row>
    <row r="94" spans="1:4" x14ac:dyDescent="0.25">
      <c r="A94" s="7" t="s">
        <v>535</v>
      </c>
      <c r="C94" s="23">
        <v>0</v>
      </c>
      <c r="D94" s="10" t="s">
        <v>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12" customWidth="1"/>
    <col min="3" max="5" width="10" customWidth="1"/>
    <col min="10" max="10" width="10" customWidth="1"/>
    <col min="14" max="16" width="10" customWidth="1"/>
    <col min="21" max="24" width="8" customWidth="1"/>
    <col min="25" max="25" width="70" customWidth="1"/>
  </cols>
  <sheetData>
    <row r="1" spans="1:1" x14ac:dyDescent="0.25">
      <c r="A1" s="1" t="s">
        <v>537</v>
      </c>
    </row>
    <row r="2" spans="1:1" x14ac:dyDescent="0.25">
      <c r="A2" s="2" t="s">
        <v>538</v>
      </c>
    </row>
    <row r="4" spans="1:25" x14ac:dyDescent="0.25">
      <c r="A4" s="3" t="s">
        <v>539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5" t="s">
        <v>540</v>
      </c>
      <c r="B5" s="5" t="s">
        <v>541</v>
      </c>
      <c r="C5" s="6" t="s">
        <v>542</v>
      </c>
      <c r="D5" s="6" t="s">
        <v>543</v>
      </c>
      <c r="E5" s="6" t="s">
        <v>544</v>
      </c>
      <c r="F5" s="6" t="s">
        <v>545</v>
      </c>
      <c r="G5" s="6" t="s">
        <v>546</v>
      </c>
      <c r="H5" s="6" t="s">
        <v>547</v>
      </c>
      <c r="Y5" s="6" t="s">
        <v>548</v>
      </c>
    </row>
    <row r="6" spans="1:25" x14ac:dyDescent="0.25">
      <c r="A6" s="7" t="s">
        <v>549</v>
      </c>
      <c r="B6" s="18" t="s">
        <v>412</v>
      </c>
      <c r="C6" s="23">
        <v>0</v>
      </c>
      <c r="D6" s="12">
        <f>Assumptions!$C$26</f>
        <v>0.5</v>
      </c>
      <c r="E6" s="12">
        <f>Assumptions!$C$25</f>
        <v>3</v>
      </c>
      <c r="F6" s="12">
        <f>Assumptions!$C$24</f>
        <v>10</v>
      </c>
      <c r="G6" s="23">
        <v>0</v>
      </c>
      <c r="H6" s="29">
        <v>1</v>
      </c>
      <c r="Y6" s="10" t="s">
        <v>550</v>
      </c>
    </row>
    <row r="7" spans="1:25" x14ac:dyDescent="0.25">
      <c r="A7" s="7" t="s">
        <v>551</v>
      </c>
      <c r="B7" s="18" t="s">
        <v>412</v>
      </c>
      <c r="C7" s="23">
        <v>0</v>
      </c>
      <c r="D7" s="12">
        <f>Assumptions!$C$27</f>
        <v>1</v>
      </c>
      <c r="E7" s="12">
        <f>Assumptions!$C$28</f>
        <v>0.5</v>
      </c>
      <c r="F7" s="23">
        <v>0</v>
      </c>
      <c r="G7" s="23">
        <v>0</v>
      </c>
      <c r="H7" s="29">
        <v>1</v>
      </c>
      <c r="Y7" s="10" t="s">
        <v>552</v>
      </c>
    </row>
    <row r="8" spans="1:25" x14ac:dyDescent="0.25">
      <c r="A8" s="7" t="s">
        <v>553</v>
      </c>
      <c r="B8" s="18" t="s">
        <v>412</v>
      </c>
      <c r="C8" s="20">
        <f>Case_Digital!$E$14*(1-Assumptions!$C$29)+Case_Digital!$E$15*(1-Assumptions!$C$30)+Case_Digital!$E$16*(1-Assumptions!$C$31)+Case_Digital!$E$17*(1-Assumptions!$C$32)</f>
        <v>2.89</v>
      </c>
      <c r="D8" s="23">
        <v>0</v>
      </c>
      <c r="E8" s="20">
        <f>Assumptions!$C$33-Case_Digital!$E$26</f>
        <v>-2.5</v>
      </c>
      <c r="F8" s="23">
        <v>0</v>
      </c>
      <c r="G8" s="23">
        <v>0</v>
      </c>
      <c r="H8" s="29">
        <v>0</v>
      </c>
      <c r="Y8" s="10" t="s">
        <v>554</v>
      </c>
    </row>
    <row r="9" spans="1:25" x14ac:dyDescent="0.25">
      <c r="A9" s="7" t="s">
        <v>555</v>
      </c>
      <c r="B9" s="18" t="s">
        <v>556</v>
      </c>
      <c r="C9" s="20">
        <f>(Case_Digital!$C$36-Assumptions!$C$35)*Case_Digital!$C$9/(Case_Digital!$C$34-Case_Digital!$C$36)</f>
        <v>2.5</v>
      </c>
      <c r="D9" s="12">
        <f>Assumptions!$C$36</f>
        <v>0.5</v>
      </c>
      <c r="E9" s="23">
        <v>0</v>
      </c>
      <c r="F9" s="23">
        <v>0</v>
      </c>
      <c r="G9" s="23">
        <v>0</v>
      </c>
      <c r="H9" s="29">
        <v>1</v>
      </c>
      <c r="Y9" s="10" t="s">
        <v>557</v>
      </c>
    </row>
    <row r="10" spans="1:25" x14ac:dyDescent="0.25">
      <c r="A10" s="7" t="s">
        <v>558</v>
      </c>
      <c r="B10" s="18" t="s">
        <v>556</v>
      </c>
      <c r="C10" s="20">
        <f>Assumptions!$C$37*Case_Digital!$C$9/Case_Digital!$C$33*Assumptions!$C$38</f>
        <v>3.5</v>
      </c>
      <c r="D10" s="20">
        <f>Assumptions!$C$37*Case_Digital!$C$18/Case_Digital!$C$33*Assumptions!$C$8</f>
        <v>2.01</v>
      </c>
      <c r="E10" s="12">
        <f>Assumptions!$C$40</f>
        <v>2</v>
      </c>
      <c r="F10" s="12">
        <f>Assumptions!$C$41</f>
        <v>8</v>
      </c>
      <c r="G10" s="23">
        <v>0</v>
      </c>
      <c r="H10" s="29">
        <v>1</v>
      </c>
      <c r="Y10" s="10" t="s">
        <v>559</v>
      </c>
    </row>
    <row r="11" spans="1:25" x14ac:dyDescent="0.25">
      <c r="A11" s="7" t="s">
        <v>560</v>
      </c>
      <c r="B11" s="18" t="s">
        <v>561</v>
      </c>
      <c r="C11" s="20">
        <f>(Case_Digital!$D$36-Assumptions!$C$42)*Case_Digital!$D$9/(Case_Digital!$D$34-Case_Digital!$D$36)</f>
        <v>3.5</v>
      </c>
      <c r="D11" s="23">
        <v>0</v>
      </c>
      <c r="E11" s="12">
        <f>Assumptions!$C$43</f>
        <v>0.5</v>
      </c>
      <c r="F11" s="23">
        <v>0</v>
      </c>
      <c r="G11" s="23">
        <v>0</v>
      </c>
      <c r="H11" s="29">
        <v>1</v>
      </c>
      <c r="Y11" s="10" t="s">
        <v>562</v>
      </c>
    </row>
    <row r="12" spans="1:25" x14ac:dyDescent="0.25">
      <c r="A12" s="7" t="s">
        <v>563</v>
      </c>
      <c r="B12" s="18" t="s">
        <v>561</v>
      </c>
      <c r="C12" s="20">
        <f>Assumptions!$C$44*Case_Digital!$D$9/Case_Digital!$D$33*Assumptions!$C$45</f>
        <v>1.3125</v>
      </c>
      <c r="D12" s="20">
        <f>Assumptions!$C$44*Case_Digital!$D$18/Case_Digital!$D$33*Assumptions!$C$8</f>
        <v>1.005</v>
      </c>
      <c r="E12" s="12">
        <f>Assumptions!$C$46</f>
        <v>0.8</v>
      </c>
      <c r="F12" s="12">
        <f>Assumptions!$C$47</f>
        <v>4</v>
      </c>
      <c r="G12" s="23">
        <v>0</v>
      </c>
      <c r="H12" s="29">
        <v>1</v>
      </c>
      <c r="Y12" s="10" t="s">
        <v>564</v>
      </c>
    </row>
    <row r="13" spans="1:25" x14ac:dyDescent="0.25">
      <c r="A13" s="7" t="s">
        <v>565</v>
      </c>
      <c r="B13" s="18" t="s">
        <v>566</v>
      </c>
      <c r="C13" s="20">
        <f>Case_Ops!$C$7*Assumptions!$C$49+Case_Ops!$D$7*Assumptions!$C$50+Case_Ops!$E$7*Assumptions!$C$51</f>
        <v>6.45</v>
      </c>
      <c r="D13" s="12">
        <f>Assumptions!$C$52</f>
        <v>0.8</v>
      </c>
      <c r="E13" s="12">
        <f>Assumptions!$C$53</f>
        <v>1</v>
      </c>
      <c r="F13" s="12">
        <f>Assumptions!$C$54</f>
        <v>3</v>
      </c>
      <c r="G13" s="23">
        <v>0</v>
      </c>
      <c r="H13" s="29">
        <v>1</v>
      </c>
      <c r="Y13" s="10" t="s">
        <v>567</v>
      </c>
    </row>
    <row r="14" spans="1:25" x14ac:dyDescent="0.25">
      <c r="A14" s="7" t="s">
        <v>568</v>
      </c>
      <c r="B14" s="18" t="s">
        <v>566</v>
      </c>
      <c r="C14" s="20">
        <f>Assumptions!$C$55*(Case_Financials!$F$56*Case_Financials!$F$7/Case_Financials!$F$6-Case_Ops!$E$7-Case_Ops!$E$8)</f>
        <v>1.8605042017</v>
      </c>
      <c r="D14" s="12">
        <f>Assumptions!$C$56</f>
        <v>0.4</v>
      </c>
      <c r="E14" s="12">
        <f>Assumptions!$C$57</f>
        <v>0.8</v>
      </c>
      <c r="F14" s="12">
        <f>Assumptions!$C$58</f>
        <v>2</v>
      </c>
      <c r="G14" s="23">
        <v>0</v>
      </c>
      <c r="H14" s="29">
        <v>1</v>
      </c>
      <c r="Y14" s="10" t="s">
        <v>569</v>
      </c>
    </row>
    <row r="15" spans="1:25" x14ac:dyDescent="0.25">
      <c r="A15" s="7" t="s">
        <v>570</v>
      </c>
      <c r="B15" s="18" t="s">
        <v>571</v>
      </c>
      <c r="C15" s="20">
        <f>(Case_Financials!$F$7-Case_Ops!$F$7-Case_Ops!$F$8)*Assumptions!$C$59*Assumptions!$C$60</f>
        <v>5.5125</v>
      </c>
      <c r="D15" s="12">
        <f>Assumptions!$C$61</f>
        <v>0.5</v>
      </c>
      <c r="E15" s="12">
        <f>Assumptions!$C$62</f>
        <v>1</v>
      </c>
      <c r="F15" s="23">
        <v>0</v>
      </c>
      <c r="G15" s="23">
        <v>0</v>
      </c>
      <c r="H15" s="29">
        <v>1</v>
      </c>
      <c r="Y15" s="10" t="s">
        <v>572</v>
      </c>
    </row>
    <row r="16" spans="1:25" x14ac:dyDescent="0.25">
      <c r="A16" s="7" t="s">
        <v>573</v>
      </c>
      <c r="B16" s="18" t="s">
        <v>574</v>
      </c>
      <c r="C16" s="20">
        <f>Case_Financials!$F$54*Assumptions!$C$63+Case_Financials!$F$55*Assumptions!$C$64+Case_Financials!$F$56*Assumptions!$C$65</f>
        <v>7.025</v>
      </c>
      <c r="D16" s="12">
        <f>Assumptions!$C$66</f>
        <v>0.7</v>
      </c>
      <c r="E16" s="12">
        <f>Assumptions!$C$67</f>
        <v>1</v>
      </c>
      <c r="F16" s="23">
        <v>0</v>
      </c>
      <c r="G16" s="20">
        <f>Case_Financials!$F$54*Assumptions!$C$63+Case_Financials!$F$55*Assumptions!$C$64+Case_Financials!$F$56*Assumptions!$C$65</f>
        <v>7.025</v>
      </c>
      <c r="H16" s="29">
        <v>1</v>
      </c>
      <c r="Y16" s="10" t="s">
        <v>575</v>
      </c>
    </row>
    <row r="17" spans="1:25" x14ac:dyDescent="0.25">
      <c r="A17" s="7" t="s">
        <v>576</v>
      </c>
      <c r="B17" s="18" t="s">
        <v>574</v>
      </c>
      <c r="C17" s="20">
        <f>Assumptions!$C$72*Assumptions!$C$73</f>
        <v>6.12</v>
      </c>
      <c r="D17" s="12">
        <f>Assumptions!$C$74</f>
        <v>1</v>
      </c>
      <c r="E17" s="12">
        <f>Assumptions!$C$75</f>
        <v>1</v>
      </c>
      <c r="F17" s="23">
        <v>0</v>
      </c>
      <c r="G17" s="23">
        <v>0</v>
      </c>
      <c r="H17" s="29">
        <v>1</v>
      </c>
      <c r="Y17" s="10" t="s">
        <v>577</v>
      </c>
    </row>
    <row r="18" spans="1:25" x14ac:dyDescent="0.25">
      <c r="A18" s="7" t="s">
        <v>578</v>
      </c>
      <c r="B18" s="18" t="s">
        <v>579</v>
      </c>
      <c r="C18" s="20">
        <f>Case_Financials!$F$55*Assumptions!$C$68*Assumptions!$C$69</f>
        <v>0.81</v>
      </c>
      <c r="D18" s="23">
        <v>0</v>
      </c>
      <c r="E18" s="12">
        <f>Assumptions!$C$70</f>
        <v>1</v>
      </c>
      <c r="F18" s="12">
        <f>Assumptions!$C$71</f>
        <v>2</v>
      </c>
      <c r="G18" s="20">
        <f>Case_Financials!$F$55*Assumptions!$C$68</f>
        <v>4.05</v>
      </c>
      <c r="H18" s="29">
        <v>1</v>
      </c>
      <c r="Y18" s="10" t="s">
        <v>580</v>
      </c>
    </row>
    <row r="19" spans="1:25" x14ac:dyDescent="0.25">
      <c r="A19" s="7" t="s">
        <v>581</v>
      </c>
      <c r="B19" s="18" t="s">
        <v>582</v>
      </c>
      <c r="C19" s="20">
        <f>-Assumptions!$C$77*C15*Case_Financials!$F$54/Case_Financials!$F$6</f>
        <v>-1.3202205882</v>
      </c>
      <c r="D19" s="23">
        <v>0</v>
      </c>
      <c r="E19" s="23">
        <v>0</v>
      </c>
      <c r="F19" s="23">
        <v>0</v>
      </c>
      <c r="G19" s="23">
        <v>0</v>
      </c>
      <c r="H19" s="29">
        <v>1</v>
      </c>
      <c r="Y19" s="10" t="s">
        <v>583</v>
      </c>
    </row>
    <row r="20" spans="1:25" x14ac:dyDescent="0.25">
      <c r="A20" s="7" t="s">
        <v>584</v>
      </c>
      <c r="B20" s="18" t="s">
        <v>582</v>
      </c>
      <c r="C20" s="20">
        <f>-Assumptions!$C$78*(C9*Assumptions!$C$7+C10*Assumptions!$C$39+C11*Assumptions!$C$7+C12+Case_Ops!$C$7*Assumptions!$C$49)</f>
        <v>-2.265625</v>
      </c>
      <c r="D20" s="23">
        <v>0</v>
      </c>
      <c r="E20" s="23">
        <v>0</v>
      </c>
      <c r="F20" s="23">
        <v>0</v>
      </c>
      <c r="G20" s="23">
        <v>0</v>
      </c>
      <c r="H20" s="29">
        <v>1</v>
      </c>
      <c r="Y20" s="10" t="s">
        <v>585</v>
      </c>
    </row>
    <row r="21" spans="1:7" x14ac:dyDescent="0.25">
      <c r="A21" s="24" t="s">
        <v>203</v>
      </c>
      <c r="C21" s="25">
        <f>SUM(C6:C20)</f>
        <v>37.894658613</v>
      </c>
      <c r="D21" s="25">
        <f>SUM(D6:D20)</f>
        <v>8.415</v>
      </c>
      <c r="E21" s="25">
        <f>SUM(E6:E20)</f>
        <v>10.1</v>
      </c>
      <c r="F21" s="25">
        <f>SUM(F6:F20)</f>
        <v>29</v>
      </c>
      <c r="G21" s="25">
        <f>SUM(G6:G20)</f>
        <v>11.075</v>
      </c>
    </row>
    <row r="22" spans="1:3" x14ac:dyDescent="0.25">
      <c r="A22" s="7" t="s">
        <v>586</v>
      </c>
      <c r="C22" s="20">
        <f>SUMPRODUCT(C6:C20,H6:H20)</f>
        <v>35.004658613</v>
      </c>
    </row>
    <row r="23" spans="1:3" x14ac:dyDescent="0.25">
      <c r="A23" s="7" t="s">
        <v>587</v>
      </c>
      <c r="C23" s="20">
        <f>C21-C22</f>
        <v>2.89</v>
      </c>
    </row>
    <row r="25" spans="1:25" x14ac:dyDescent="0.25">
      <c r="A25" s="3" t="s">
        <v>588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25">
      <c r="A26" s="5" t="s">
        <v>540</v>
      </c>
      <c r="B26" s="5" t="s">
        <v>541</v>
      </c>
      <c r="C26" s="6" t="s">
        <v>589</v>
      </c>
      <c r="D26" s="6" t="s">
        <v>590</v>
      </c>
      <c r="E26" s="6" t="s">
        <v>591</v>
      </c>
      <c r="F26" s="6" t="s">
        <v>592</v>
      </c>
      <c r="G26" s="6" t="s">
        <v>593</v>
      </c>
      <c r="H26" s="6" t="s">
        <v>594</v>
      </c>
      <c r="I26" s="6" t="s">
        <v>595</v>
      </c>
      <c r="J26" s="6" t="s">
        <v>596</v>
      </c>
      <c r="K26" s="6" t="s">
        <v>597</v>
      </c>
      <c r="L26" s="6" t="s">
        <v>598</v>
      </c>
      <c r="M26" s="6" t="s">
        <v>599</v>
      </c>
      <c r="N26" s="6" t="s">
        <v>600</v>
      </c>
      <c r="O26" s="6" t="s">
        <v>601</v>
      </c>
      <c r="P26" s="6" t="s">
        <v>602</v>
      </c>
      <c r="Q26" s="6" t="s">
        <v>603</v>
      </c>
      <c r="R26" s="6" t="s">
        <v>604</v>
      </c>
      <c r="S26" s="6" t="s">
        <v>605</v>
      </c>
      <c r="T26" s="6" t="s">
        <v>606</v>
      </c>
      <c r="U26" s="6" t="s">
        <v>257</v>
      </c>
      <c r="V26" s="6" t="s">
        <v>258</v>
      </c>
      <c r="W26" s="6" t="s">
        <v>259</v>
      </c>
      <c r="X26" s="6" t="s">
        <v>607</v>
      </c>
      <c r="Y26" s="6" t="s">
        <v>608</v>
      </c>
    </row>
    <row r="27" spans="1:25" x14ac:dyDescent="0.25">
      <c r="A27" s="7" t="str">
        <f>A6</f>
        <v>F1 · Master data &amp; ERP harmonisation (3 plants, in waves)</v>
      </c>
      <c r="B27" s="18" t="str">
        <f>B6</f>
        <v>W1 Foundations</v>
      </c>
      <c r="C27" s="20">
        <f>C6*IF(H6=1,Assumptions!$C$6,1)</f>
        <v>0</v>
      </c>
      <c r="D27" s="20">
        <f>D6</f>
        <v>0.5</v>
      </c>
      <c r="E27" s="20">
        <f>C27-D27</f>
        <v>-0.5</v>
      </c>
      <c r="F27" s="30">
        <v>0</v>
      </c>
      <c r="G27" s="30">
        <v>0</v>
      </c>
      <c r="H27" s="30">
        <v>0.4</v>
      </c>
      <c r="I27" s="30">
        <v>1</v>
      </c>
      <c r="J27" s="20">
        <f>E6</f>
        <v>3</v>
      </c>
      <c r="K27" s="30">
        <v>0.6</v>
      </c>
      <c r="L27" s="20">
        <f>F6</f>
        <v>10</v>
      </c>
      <c r="M27" s="30">
        <v>0.6</v>
      </c>
      <c r="N27" s="20">
        <f>C27*F27-D27*H27-J27*K27</f>
        <v>-2</v>
      </c>
      <c r="O27" s="20">
        <f>0.5*(C27*G27-D27*I27)-J27*(1-K27)</f>
        <v>-1.45</v>
      </c>
      <c r="P27" s="20">
        <f>N27+O27</f>
        <v>-3.45</v>
      </c>
      <c r="Q27" s="20">
        <f>L27*M27</f>
        <v>6</v>
      </c>
      <c r="R27" s="20">
        <f>L27-Q27</f>
        <v>4</v>
      </c>
      <c r="S27" s="29">
        <v>3</v>
      </c>
      <c r="T27" s="29">
        <v>9</v>
      </c>
      <c r="U27" s="33">
        <f>Case_Financials!$F$54/Case_Financials!$F$6</f>
        <v>0.47899159664</v>
      </c>
      <c r="V27" s="33">
        <f>Case_Financials!$F$55/Case_Financials!$F$6</f>
        <v>0.34033613445</v>
      </c>
      <c r="W27" s="33">
        <f>Case_Financials!$F$56/Case_Financials!$F$6</f>
        <v>0.18067226891</v>
      </c>
      <c r="X27" s="33">
        <f>U27+V27+W27</f>
        <v>1</v>
      </c>
      <c r="Y27" s="10" t="s">
        <v>609</v>
      </c>
    </row>
    <row r="28" spans="1:25" x14ac:dyDescent="0.25">
      <c r="A28" s="7" t="str">
        <f>A7</f>
        <v>F2 · Digital Value Office &amp; Chief Digital Officer</v>
      </c>
      <c r="B28" s="18" t="str">
        <f>B7</f>
        <v>W1 Foundations</v>
      </c>
      <c r="C28" s="20">
        <f>C7*IF(H7=1,Assumptions!$C$6,1)</f>
        <v>0</v>
      </c>
      <c r="D28" s="20">
        <f>D7</f>
        <v>1</v>
      </c>
      <c r="E28" s="20">
        <f>C28-D28</f>
        <v>-1</v>
      </c>
      <c r="F28" s="30">
        <v>0</v>
      </c>
      <c r="G28" s="30">
        <v>0</v>
      </c>
      <c r="H28" s="30">
        <v>0.9</v>
      </c>
      <c r="I28" s="30">
        <v>1</v>
      </c>
      <c r="J28" s="20">
        <f>E7</f>
        <v>0.5</v>
      </c>
      <c r="K28" s="30">
        <v>0.7</v>
      </c>
      <c r="L28" s="20">
        <f>F7</f>
        <v>0</v>
      </c>
      <c r="M28" s="30">
        <v>0</v>
      </c>
      <c r="N28" s="20">
        <f>C28*F28-D28*H28-J28*K28</f>
        <v>-1.25</v>
      </c>
      <c r="O28" s="20">
        <f>0.5*(C28*G28-D28*I28)-J28*(1-K28)</f>
        <v>-0.65</v>
      </c>
      <c r="P28" s="20">
        <f>N28+O28</f>
        <v>-1.9</v>
      </c>
      <c r="Q28" s="20">
        <f>L28*M28</f>
        <v>0</v>
      </c>
      <c r="R28" s="20">
        <f>L28-Q28</f>
        <v>0</v>
      </c>
      <c r="S28" s="29">
        <v>5</v>
      </c>
      <c r="T28" s="29">
        <v>1</v>
      </c>
      <c r="U28" s="33">
        <f>Case_Financials!$F$54/Case_Financials!$F$6</f>
        <v>0.47899159664</v>
      </c>
      <c r="V28" s="33">
        <f>Case_Financials!$F$55/Case_Financials!$F$6</f>
        <v>0.34033613445</v>
      </c>
      <c r="W28" s="33">
        <f>Case_Financials!$F$56/Case_Financials!$F$6</f>
        <v>0.18067226891</v>
      </c>
      <c r="X28" s="33">
        <f>U28+V28+W28</f>
        <v>1</v>
      </c>
      <c r="Y28" s="10" t="s">
        <v>610</v>
      </c>
    </row>
    <row r="29" spans="1:25" x14ac:dyDescent="0.25">
      <c r="A29" s="7" t="str">
        <f>A8</f>
        <v>F3 · Switch off SCP agentic layer; keep core planning tool</v>
      </c>
      <c r="B29" s="18" t="str">
        <f>B8</f>
        <v>W1 Foundations</v>
      </c>
      <c r="C29" s="20">
        <f>C8*IF(H8=1,Assumptions!$C$6,1)</f>
        <v>2.89</v>
      </c>
      <c r="D29" s="20">
        <f>D8</f>
        <v>0</v>
      </c>
      <c r="E29" s="20">
        <f>C29-D29</f>
        <v>2.89</v>
      </c>
      <c r="F29" s="30">
        <v>0.75</v>
      </c>
      <c r="G29" s="30">
        <v>1</v>
      </c>
      <c r="H29" s="30">
        <v>0</v>
      </c>
      <c r="I29" s="30">
        <v>0</v>
      </c>
      <c r="J29" s="20">
        <f>E8</f>
        <v>-2.5</v>
      </c>
      <c r="K29" s="30">
        <v>1</v>
      </c>
      <c r="L29" s="20">
        <f>F8</f>
        <v>0</v>
      </c>
      <c r="M29" s="30">
        <v>0</v>
      </c>
      <c r="N29" s="20">
        <f>C29*F29-D29*H29-J29*K29</f>
        <v>4.6675</v>
      </c>
      <c r="O29" s="20">
        <f>0.5*(C29*G29-D29*I29)-J29*(1-K29)</f>
        <v>1.445</v>
      </c>
      <c r="P29" s="20">
        <f>N29+O29</f>
        <v>6.1125</v>
      </c>
      <c r="Q29" s="20">
        <f>L29*M29</f>
        <v>0</v>
      </c>
      <c r="R29" s="20">
        <f>L29-Q29</f>
        <v>0</v>
      </c>
      <c r="S29" s="29">
        <v>5</v>
      </c>
      <c r="T29" s="29">
        <v>3</v>
      </c>
      <c r="U29" s="38">
        <f>Assumptions!$C$7</f>
        <v>0.66666666667</v>
      </c>
      <c r="V29" s="33">
        <f>1-Assumptions!$C$7</f>
        <v>0.33333333333</v>
      </c>
      <c r="W29" s="30">
        <v>0</v>
      </c>
      <c r="X29" s="33">
        <f>U29+V29+W29</f>
        <v>1</v>
      </c>
      <c r="Y29" s="10" t="s">
        <v>611</v>
      </c>
    </row>
    <row r="30" spans="1:25" x14ac:dyDescent="0.25">
      <c r="A30" s="7" t="str">
        <f>A9</f>
        <v>S1 · PdM: close the loop on current 150 machines</v>
      </c>
      <c r="B30" s="18" t="str">
        <f>B9</f>
        <v>W2 Maintenance</v>
      </c>
      <c r="C30" s="20">
        <f>C9*IF(H9=1,Assumptions!$C$6,1)</f>
        <v>1.875</v>
      </c>
      <c r="D30" s="20">
        <f>D9</f>
        <v>0.5</v>
      </c>
      <c r="E30" s="20">
        <f>C30-D30</f>
        <v>1.375</v>
      </c>
      <c r="F30" s="30">
        <v>0.5</v>
      </c>
      <c r="G30" s="30">
        <v>1</v>
      </c>
      <c r="H30" s="30">
        <v>0.75</v>
      </c>
      <c r="I30" s="30">
        <v>1</v>
      </c>
      <c r="J30" s="20">
        <f>E9</f>
        <v>0</v>
      </c>
      <c r="K30" s="30">
        <v>1</v>
      </c>
      <c r="L30" s="20">
        <f>F9</f>
        <v>0</v>
      </c>
      <c r="M30" s="30">
        <v>0</v>
      </c>
      <c r="N30" s="20">
        <f>C30*F30-D30*H30-J30*K30</f>
        <v>0.5625</v>
      </c>
      <c r="O30" s="20">
        <f>0.5*(C30*G30-D30*I30)-J30*(1-K30)</f>
        <v>0.6875</v>
      </c>
      <c r="P30" s="20">
        <f>N30+O30</f>
        <v>1.25</v>
      </c>
      <c r="Q30" s="20">
        <f>L30*M30</f>
        <v>0</v>
      </c>
      <c r="R30" s="20">
        <f>L30-Q30</f>
        <v>0</v>
      </c>
      <c r="S30" s="29">
        <v>4</v>
      </c>
      <c r="T30" s="29">
        <v>4</v>
      </c>
      <c r="U30" s="38">
        <f>Assumptions!$C$7</f>
        <v>0.66666666667</v>
      </c>
      <c r="V30" s="33">
        <f>1-Assumptions!$C$7</f>
        <v>0.33333333333</v>
      </c>
      <c r="W30" s="30">
        <v>0</v>
      </c>
      <c r="X30" s="33">
        <f>U30+V30+W30</f>
        <v>1</v>
      </c>
      <c r="Y30" s="10" t="s">
        <v>612</v>
      </c>
    </row>
    <row r="31" spans="1:25" x14ac:dyDescent="0.25">
      <c r="A31" s="7" t="str">
        <f>A10</f>
        <v>S2 · PdM: scale to +150 assets (IEM-led, gated)</v>
      </c>
      <c r="B31" s="18" t="str">
        <f>B10</f>
        <v>W2 Maintenance</v>
      </c>
      <c r="C31" s="20">
        <f>C10*IF(H10=1,Assumptions!$C$6,1)</f>
        <v>2.625</v>
      </c>
      <c r="D31" s="20">
        <f>D10</f>
        <v>2.01</v>
      </c>
      <c r="E31" s="20">
        <f>C31-D31</f>
        <v>0.615</v>
      </c>
      <c r="F31" s="30">
        <v>0.2</v>
      </c>
      <c r="G31" s="30">
        <v>0.75</v>
      </c>
      <c r="H31" s="30">
        <v>0.4</v>
      </c>
      <c r="I31" s="30">
        <v>1</v>
      </c>
      <c r="J31" s="20">
        <f>E10</f>
        <v>2</v>
      </c>
      <c r="K31" s="30">
        <v>0.6</v>
      </c>
      <c r="L31" s="20">
        <f>F10</f>
        <v>8</v>
      </c>
      <c r="M31" s="30">
        <v>0.6</v>
      </c>
      <c r="N31" s="20">
        <f>C31*F31-D31*H31-J31*K31</f>
        <v>-1.479</v>
      </c>
      <c r="O31" s="20">
        <f>0.5*(C31*G31-D31*I31)-J31*(1-K31)</f>
        <v>-0.820625</v>
      </c>
      <c r="P31" s="20">
        <f>N31+O31</f>
        <v>-2.299625</v>
      </c>
      <c r="Q31" s="20">
        <f>L31*M31</f>
        <v>4.8</v>
      </c>
      <c r="R31" s="20">
        <f>L31-Q31</f>
        <v>3.2</v>
      </c>
      <c r="S31" s="29">
        <v>3</v>
      </c>
      <c r="T31" s="29">
        <v>9</v>
      </c>
      <c r="U31" s="38">
        <f>Assumptions!$C$39</f>
        <v>0.3</v>
      </c>
      <c r="V31" s="33">
        <f>1-Assumptions!$C$39</f>
        <v>0.7</v>
      </c>
      <c r="W31" s="30">
        <v>0</v>
      </c>
      <c r="X31" s="33">
        <f>U31+V31+W31</f>
        <v>1</v>
      </c>
      <c r="Y31" s="10" t="s">
        <v>613</v>
      </c>
    </row>
    <row r="32" spans="1:25" x14ac:dyDescent="0.25">
      <c r="A32" s="7" t="str">
        <f>A11</f>
        <v>S3 · Vision: retrain &amp; calibrate current 8 lines</v>
      </c>
      <c r="B32" s="18" t="str">
        <f>B11</f>
        <v>W3 Quality</v>
      </c>
      <c r="C32" s="20">
        <f>C11*IF(H11=1,Assumptions!$C$6,1)</f>
        <v>2.625</v>
      </c>
      <c r="D32" s="20">
        <f>D11</f>
        <v>0</v>
      </c>
      <c r="E32" s="20">
        <f>C32-D32</f>
        <v>2.625</v>
      </c>
      <c r="F32" s="30">
        <v>0.5</v>
      </c>
      <c r="G32" s="30">
        <v>1</v>
      </c>
      <c r="H32" s="30">
        <v>0</v>
      </c>
      <c r="I32" s="30">
        <v>0</v>
      </c>
      <c r="J32" s="20">
        <f>E11</f>
        <v>0.5</v>
      </c>
      <c r="K32" s="30">
        <v>1</v>
      </c>
      <c r="L32" s="20">
        <f>F11</f>
        <v>0</v>
      </c>
      <c r="M32" s="30">
        <v>0</v>
      </c>
      <c r="N32" s="20">
        <f>C32*F32-D32*H32-J32*K32</f>
        <v>0.8125</v>
      </c>
      <c r="O32" s="20">
        <f>0.5*(C32*G32-D32*I32)-J32*(1-K32)</f>
        <v>1.3125</v>
      </c>
      <c r="P32" s="20">
        <f>N32+O32</f>
        <v>2.125</v>
      </c>
      <c r="Q32" s="20">
        <f>L32*M32</f>
        <v>0</v>
      </c>
      <c r="R32" s="20">
        <f>L32-Q32</f>
        <v>0</v>
      </c>
      <c r="S32" s="29">
        <v>4</v>
      </c>
      <c r="T32" s="29">
        <v>4</v>
      </c>
      <c r="U32" s="38">
        <f>Assumptions!$C$7</f>
        <v>0.66666666667</v>
      </c>
      <c r="V32" s="30">
        <v>0</v>
      </c>
      <c r="W32" s="33">
        <f>1-Assumptions!$C$7</f>
        <v>0.33333333333</v>
      </c>
      <c r="X32" s="33">
        <f>U32+V32+W32</f>
        <v>1</v>
      </c>
      <c r="Y32" s="10" t="s">
        <v>614</v>
      </c>
    </row>
    <row r="33" spans="1:25" x14ac:dyDescent="0.25">
      <c r="A33" s="7" t="str">
        <f>A12</f>
        <v>S4 · Vision + traceability: +3 Auto lines (gated)</v>
      </c>
      <c r="B33" s="18" t="str">
        <f>B12</f>
        <v>W3 Quality</v>
      </c>
      <c r="C33" s="20">
        <f>C12*IF(H12=1,Assumptions!$C$6,1)</f>
        <v>0.984375</v>
      </c>
      <c r="D33" s="20">
        <f>D12</f>
        <v>1.005</v>
      </c>
      <c r="E33" s="20">
        <f>C33-D33</f>
        <v>-0.020625</v>
      </c>
      <c r="F33" s="30">
        <v>0</v>
      </c>
      <c r="G33" s="30">
        <v>0.4</v>
      </c>
      <c r="H33" s="30">
        <v>0.1</v>
      </c>
      <c r="I33" s="30">
        <v>0.8</v>
      </c>
      <c r="J33" s="20">
        <f>E12</f>
        <v>0.8</v>
      </c>
      <c r="K33" s="30">
        <v>0.3</v>
      </c>
      <c r="L33" s="20">
        <f>F12</f>
        <v>4</v>
      </c>
      <c r="M33" s="30">
        <v>0.25</v>
      </c>
      <c r="N33" s="20">
        <f>C33*F33-D33*H33-J33*K33</f>
        <v>-0.3405</v>
      </c>
      <c r="O33" s="20">
        <f>0.5*(C33*G33-D33*I33)-J33*(1-K33)</f>
        <v>-0.765125</v>
      </c>
      <c r="P33" s="20">
        <f>N33+O33</f>
        <v>-1.105625</v>
      </c>
      <c r="Q33" s="20">
        <f>L33*M33</f>
        <v>1</v>
      </c>
      <c r="R33" s="20">
        <f>L33-Q33</f>
        <v>3</v>
      </c>
      <c r="S33" s="29">
        <v>3</v>
      </c>
      <c r="T33" s="29">
        <v>12</v>
      </c>
      <c r="U33" s="30">
        <v>1</v>
      </c>
      <c r="V33" s="30">
        <v>0</v>
      </c>
      <c r="W33" s="30">
        <v>0</v>
      </c>
      <c r="X33" s="33">
        <f>U33+V33+W33</f>
        <v>1</v>
      </c>
      <c r="Y33" s="10" t="s">
        <v>615</v>
      </c>
    </row>
    <row r="34" spans="1:25" x14ac:dyDescent="0.25">
      <c r="A34" s="7" t="str">
        <f>A13</f>
        <v>N1 · Energy management &amp; optimisation</v>
      </c>
      <c r="B34" s="18" t="str">
        <f>B13</f>
        <v>W4 Energy &amp; process</v>
      </c>
      <c r="C34" s="20">
        <f>C13*IF(H13=1,Assumptions!$C$6,1)</f>
        <v>4.8375</v>
      </c>
      <c r="D34" s="20">
        <f>D13</f>
        <v>0.8</v>
      </c>
      <c r="E34" s="20">
        <f>C34-D34</f>
        <v>4.0375</v>
      </c>
      <c r="F34" s="30">
        <v>0.4</v>
      </c>
      <c r="G34" s="30">
        <v>0.85</v>
      </c>
      <c r="H34" s="30">
        <v>0.6</v>
      </c>
      <c r="I34" s="30">
        <v>1</v>
      </c>
      <c r="J34" s="20">
        <f>E13</f>
        <v>1</v>
      </c>
      <c r="K34" s="30">
        <v>0.7</v>
      </c>
      <c r="L34" s="20">
        <f>F13</f>
        <v>3</v>
      </c>
      <c r="M34" s="30">
        <v>0.8</v>
      </c>
      <c r="N34" s="20">
        <f>C34*F34-D34*H34-J34*K34</f>
        <v>0.755</v>
      </c>
      <c r="O34" s="20">
        <f>0.5*(C34*G34-D34*I34)-J34*(1-K34)</f>
        <v>1.3559375</v>
      </c>
      <c r="P34" s="20">
        <f>N34+O34</f>
        <v>2.1109375</v>
      </c>
      <c r="Q34" s="20">
        <f>L34*M34</f>
        <v>2.4</v>
      </c>
      <c r="R34" s="20">
        <f>L34-Q34</f>
        <v>0.6</v>
      </c>
      <c r="S34" s="29">
        <v>4</v>
      </c>
      <c r="T34" s="29">
        <v>6</v>
      </c>
      <c r="U34" s="33">
        <f>Case_Ops!$C$7*Assumptions!$C$49/C13</f>
        <v>0.41860465116</v>
      </c>
      <c r="V34" s="33">
        <f>Case_Ops!$D$7*Assumptions!$C$50/C13</f>
        <v>0.11627906977</v>
      </c>
      <c r="W34" s="33">
        <f>Case_Ops!$E$7*Assumptions!$C$51/C13</f>
        <v>0.46511627907</v>
      </c>
      <c r="X34" s="33">
        <f>U34+V34+W34</f>
        <v>1</v>
      </c>
      <c r="Y34" s="10" t="s">
        <v>616</v>
      </c>
    </row>
    <row r="35" spans="1:25" x14ac:dyDescent="0.25">
      <c r="A35" s="7" t="str">
        <f>A14</f>
        <v>N2 · SMC golden-batch &amp; process control (gated)</v>
      </c>
      <c r="B35" s="18" t="str">
        <f>B14</f>
        <v>W4 Energy &amp; process</v>
      </c>
      <c r="C35" s="20">
        <f>C14*IF(H14=1,Assumptions!$C$6,1)</f>
        <v>1.3953781513</v>
      </c>
      <c r="D35" s="20">
        <f>D14</f>
        <v>0.4</v>
      </c>
      <c r="E35" s="20">
        <f>C35-D35</f>
        <v>0.99537815126</v>
      </c>
      <c r="F35" s="30">
        <v>0.1</v>
      </c>
      <c r="G35" s="30">
        <v>0.6</v>
      </c>
      <c r="H35" s="30">
        <v>0.3</v>
      </c>
      <c r="I35" s="30">
        <v>1</v>
      </c>
      <c r="J35" s="20">
        <f>E14</f>
        <v>0.8</v>
      </c>
      <c r="K35" s="30">
        <v>0.5</v>
      </c>
      <c r="L35" s="20">
        <f>F14</f>
        <v>2</v>
      </c>
      <c r="M35" s="30">
        <v>0.5</v>
      </c>
      <c r="N35" s="20">
        <f>C35*F35-D35*H35-J35*K35</f>
        <v>-0.38046218487</v>
      </c>
      <c r="O35" s="20">
        <f>0.5*(C35*G35-D35*I35)-J35*(1-K35)</f>
        <v>-0.18138655462</v>
      </c>
      <c r="P35" s="20">
        <f>N35+O35</f>
        <v>-0.5618487395</v>
      </c>
      <c r="Q35" s="20">
        <f>L35*M35</f>
        <v>1</v>
      </c>
      <c r="R35" s="20">
        <f>L35-Q35</f>
        <v>1</v>
      </c>
      <c r="S35" s="29">
        <v>2</v>
      </c>
      <c r="T35" s="29">
        <v>12</v>
      </c>
      <c r="U35" s="30">
        <v>0</v>
      </c>
      <c r="V35" s="30">
        <v>0</v>
      </c>
      <c r="W35" s="30">
        <v>1</v>
      </c>
      <c r="X35" s="33">
        <f>U35+V35+W35</f>
        <v>1</v>
      </c>
      <c r="Y35" s="10" t="s">
        <v>617</v>
      </c>
    </row>
    <row r="36" spans="1:25" x14ac:dyDescent="0.25">
      <c r="A36" s="7" t="str">
        <f>A15</f>
        <v>N3 · Procurement spend analytics &amp; should-cost</v>
      </c>
      <c r="B36" s="18" t="str">
        <f>B15</f>
        <v>W5 Procurement</v>
      </c>
      <c r="C36" s="20">
        <f>C15*IF(H15=1,Assumptions!$C$6,1)</f>
        <v>4.134375</v>
      </c>
      <c r="D36" s="20">
        <f>D15</f>
        <v>0.5</v>
      </c>
      <c r="E36" s="20">
        <f>C36-D36</f>
        <v>3.634375</v>
      </c>
      <c r="F36" s="30">
        <v>0.5</v>
      </c>
      <c r="G36" s="30">
        <v>0.9</v>
      </c>
      <c r="H36" s="30">
        <v>0.7</v>
      </c>
      <c r="I36" s="30">
        <v>1</v>
      </c>
      <c r="J36" s="20">
        <f>E15</f>
        <v>1</v>
      </c>
      <c r="K36" s="30">
        <v>0.8</v>
      </c>
      <c r="L36" s="20">
        <f>F15</f>
        <v>0</v>
      </c>
      <c r="M36" s="30">
        <v>0</v>
      </c>
      <c r="N36" s="20">
        <f>C36*F36-D36*H36-J36*K36</f>
        <v>0.9171875</v>
      </c>
      <c r="O36" s="20">
        <f>0.5*(C36*G36-D36*I36)-J36*(1-K36)</f>
        <v>1.41046875</v>
      </c>
      <c r="P36" s="20">
        <f>N36+O36</f>
        <v>2.32765625</v>
      </c>
      <c r="Q36" s="20">
        <f>L36*M36</f>
        <v>0</v>
      </c>
      <c r="R36" s="20">
        <f>L36-Q36</f>
        <v>0</v>
      </c>
      <c r="S36" s="29">
        <v>4</v>
      </c>
      <c r="T36" s="29">
        <v>4</v>
      </c>
      <c r="U36" s="33">
        <f>Case_Financials!$F$54/Case_Financials!$F$6</f>
        <v>0.47899159664</v>
      </c>
      <c r="V36" s="33">
        <f>Case_Financials!$F$55/Case_Financials!$F$6</f>
        <v>0.34033613445</v>
      </c>
      <c r="W36" s="33">
        <f>Case_Financials!$F$56/Case_Financials!$F$6</f>
        <v>0.18067226891</v>
      </c>
      <c r="X36" s="33">
        <f>U36+V36+W36</f>
        <v>1</v>
      </c>
      <c r="Y36" s="10" t="s">
        <v>618</v>
      </c>
    </row>
    <row r="37" spans="1:25" x14ac:dyDescent="0.25">
      <c r="A37" s="7" t="str">
        <f>A16</f>
        <v>N4 · Cost pass-through &amp; quoting (index clauses, CPQ)</v>
      </c>
      <c r="B37" s="18" t="str">
        <f>B16</f>
        <v>W6 Commercial &amp; back-office</v>
      </c>
      <c r="C37" s="20">
        <f>C16*IF(H16=1,Assumptions!$C$6,1)</f>
        <v>5.26875</v>
      </c>
      <c r="D37" s="20">
        <f>D16</f>
        <v>0.7</v>
      </c>
      <c r="E37" s="20">
        <f>C37-D37</f>
        <v>4.56875</v>
      </c>
      <c r="F37" s="30">
        <v>0.4</v>
      </c>
      <c r="G37" s="30">
        <v>0.85</v>
      </c>
      <c r="H37" s="30">
        <v>0.7</v>
      </c>
      <c r="I37" s="30">
        <v>1</v>
      </c>
      <c r="J37" s="20">
        <f>E16</f>
        <v>1</v>
      </c>
      <c r="K37" s="30">
        <v>0.8</v>
      </c>
      <c r="L37" s="20">
        <f>F16</f>
        <v>0</v>
      </c>
      <c r="M37" s="30">
        <v>0</v>
      </c>
      <c r="N37" s="20">
        <f>C37*F37-D37*H37-J37*K37</f>
        <v>0.8175</v>
      </c>
      <c r="O37" s="20">
        <f>0.5*(C37*G37-D37*I37)-J37*(1-K37)</f>
        <v>1.68921875</v>
      </c>
      <c r="P37" s="20">
        <f>N37+O37</f>
        <v>2.50671875</v>
      </c>
      <c r="Q37" s="20">
        <f>L37*M37</f>
        <v>0</v>
      </c>
      <c r="R37" s="20">
        <f>L37-Q37</f>
        <v>0</v>
      </c>
      <c r="S37" s="29">
        <v>3</v>
      </c>
      <c r="T37" s="29">
        <v>6</v>
      </c>
      <c r="U37" s="33">
        <f>Case_Financials!$F$54*Assumptions!$C$63/C16</f>
        <v>0.40569395018</v>
      </c>
      <c r="V37" s="33">
        <f>Case_Financials!$F$55*Assumptions!$C$64/C16</f>
        <v>0.28825622776</v>
      </c>
      <c r="W37" s="33">
        <f>Case_Financials!$F$56*Assumptions!$C$65/C16</f>
        <v>0.30604982206</v>
      </c>
      <c r="X37" s="33">
        <f>U37+V37+W37</f>
        <v>1</v>
      </c>
      <c r="Y37" s="10" t="s">
        <v>619</v>
      </c>
    </row>
    <row r="38" spans="1:25" x14ac:dyDescent="0.25">
      <c r="A38" s="7" t="str">
        <f>A17</f>
        <v>N6 · Back-office &amp; customer-support automation</v>
      </c>
      <c r="B38" s="18" t="str">
        <f>B17</f>
        <v>W6 Commercial &amp; back-office</v>
      </c>
      <c r="C38" s="20">
        <f>C17*IF(H17=1,Assumptions!$C$6,1)</f>
        <v>4.59</v>
      </c>
      <c r="D38" s="20">
        <f>D17</f>
        <v>1</v>
      </c>
      <c r="E38" s="20">
        <f>C38-D38</f>
        <v>3.59</v>
      </c>
      <c r="F38" s="30">
        <v>0.25</v>
      </c>
      <c r="G38" s="30">
        <v>0.7</v>
      </c>
      <c r="H38" s="30">
        <v>0.6</v>
      </c>
      <c r="I38" s="30">
        <v>1</v>
      </c>
      <c r="J38" s="20">
        <f>E17</f>
        <v>1</v>
      </c>
      <c r="K38" s="30">
        <v>0.7</v>
      </c>
      <c r="L38" s="20">
        <f>F17</f>
        <v>0</v>
      </c>
      <c r="M38" s="30">
        <v>0</v>
      </c>
      <c r="N38" s="20">
        <f>C38*F38-D38*H38-J38*K38</f>
        <v>-0.1525</v>
      </c>
      <c r="O38" s="20">
        <f>0.5*(C38*G38-D38*I38)-J38*(1-K38)</f>
        <v>0.8065</v>
      </c>
      <c r="P38" s="20">
        <f>N38+O38</f>
        <v>0.654</v>
      </c>
      <c r="Q38" s="20">
        <f>L38*M38</f>
        <v>0</v>
      </c>
      <c r="R38" s="20">
        <f>L38-Q38</f>
        <v>0</v>
      </c>
      <c r="S38" s="29">
        <v>4</v>
      </c>
      <c r="T38" s="29">
        <v>6</v>
      </c>
      <c r="U38" s="33">
        <f>Case_Financials!$F$54/Case_Financials!$F$6</f>
        <v>0.47899159664</v>
      </c>
      <c r="V38" s="33">
        <f>Case_Financials!$F$55/Case_Financials!$F$6</f>
        <v>0.34033613445</v>
      </c>
      <c r="W38" s="33">
        <f>Case_Financials!$F$56/Case_Financials!$F$6</f>
        <v>0.18067226891</v>
      </c>
      <c r="X38" s="33">
        <f>U38+V38+W38</f>
        <v>1</v>
      </c>
      <c r="Y38" s="10" t="s">
        <v>620</v>
      </c>
    </row>
    <row r="39" spans="1:25" x14ac:dyDescent="0.25">
      <c r="A39" s="7" t="str">
        <f>A18</f>
        <v>N5 · IEM connected-service pilot ("predictive service")</v>
      </c>
      <c r="B39" s="18" t="str">
        <f>B18</f>
        <v>W7 Service growth</v>
      </c>
      <c r="C39" s="20">
        <f>C18*IF(H18=1,Assumptions!$C$6,1)</f>
        <v>0.6075</v>
      </c>
      <c r="D39" s="20">
        <f>D18</f>
        <v>0</v>
      </c>
      <c r="E39" s="20">
        <f>C39-D39</f>
        <v>0.6075</v>
      </c>
      <c r="F39" s="30">
        <v>0.1</v>
      </c>
      <c r="G39" s="30">
        <v>0.5</v>
      </c>
      <c r="H39" s="30">
        <v>0</v>
      </c>
      <c r="I39" s="30">
        <v>0</v>
      </c>
      <c r="J39" s="20">
        <f>E18</f>
        <v>1</v>
      </c>
      <c r="K39" s="30">
        <v>0.6</v>
      </c>
      <c r="L39" s="20">
        <f>F18</f>
        <v>2</v>
      </c>
      <c r="M39" s="30">
        <v>0.6</v>
      </c>
      <c r="N39" s="20">
        <f>C39*F39-D39*H39-J39*K39</f>
        <v>-0.53925</v>
      </c>
      <c r="O39" s="20">
        <f>0.5*(C39*G39-D39*I39)-J39*(1-K39)</f>
        <v>-0.248125</v>
      </c>
      <c r="P39" s="20">
        <f>N39+O39</f>
        <v>-0.787375</v>
      </c>
      <c r="Q39" s="20">
        <f>L39*M39</f>
        <v>1.2</v>
      </c>
      <c r="R39" s="20">
        <f>L39-Q39</f>
        <v>0.8</v>
      </c>
      <c r="S39" s="29">
        <v>2</v>
      </c>
      <c r="T39" s="29">
        <v>12</v>
      </c>
      <c r="U39" s="30">
        <v>0</v>
      </c>
      <c r="V39" s="30">
        <v>1</v>
      </c>
      <c r="W39" s="30">
        <v>0</v>
      </c>
      <c r="X39" s="33">
        <f>U39+V39+W39</f>
        <v>1</v>
      </c>
      <c r="Y39" s="10" t="s">
        <v>621</v>
      </c>
    </row>
    <row r="40" spans="1:25" x14ac:dyDescent="0.25">
      <c r="A40" s="7" t="str">
        <f>A19</f>
        <v>O2 · Less: procurement savings passed to OEMs</v>
      </c>
      <c r="B40" s="18" t="str">
        <f>B19</f>
        <v>Overlap netting</v>
      </c>
      <c r="C40" s="20">
        <f>C19*IF(H19=1,Assumptions!$C$6,1)</f>
        <v>-0.99016544118</v>
      </c>
      <c r="D40" s="20">
        <f>D19</f>
        <v>0</v>
      </c>
      <c r="E40" s="20">
        <f>C40-D40</f>
        <v>-0.99016544118</v>
      </c>
      <c r="F40" s="30">
        <v>0.5</v>
      </c>
      <c r="G40" s="30">
        <v>0.9</v>
      </c>
      <c r="H40" s="30">
        <v>0</v>
      </c>
      <c r="I40" s="30">
        <v>0</v>
      </c>
      <c r="J40" s="20">
        <f>E19</f>
        <v>0</v>
      </c>
      <c r="K40" s="30">
        <v>0</v>
      </c>
      <c r="L40" s="20">
        <f>F19</f>
        <v>0</v>
      </c>
      <c r="M40" s="30">
        <v>0</v>
      </c>
      <c r="N40" s="20">
        <f>C40*F40-D40*H40-J40*K40</f>
        <v>-0.49508272059</v>
      </c>
      <c r="O40" s="20">
        <f>0.5*(C40*G40-D40*I40)-J40*(1-K40)</f>
        <v>-0.44557444853</v>
      </c>
      <c r="P40" s="20">
        <f>N40+O40</f>
        <v>-0.94065716912</v>
      </c>
      <c r="Q40" s="20">
        <f>L40*M40</f>
        <v>0</v>
      </c>
      <c r="R40" s="20">
        <f>L40-Q40</f>
        <v>0</v>
      </c>
      <c r="U40" s="30">
        <v>1</v>
      </c>
      <c r="V40" s="30">
        <v>0</v>
      </c>
      <c r="W40" s="30">
        <v>0</v>
      </c>
      <c r="X40" s="33">
        <f>U40+V40+W40</f>
        <v>1</v>
      </c>
      <c r="Y40" s="10" t="s">
        <v>622</v>
      </c>
    </row>
    <row r="41" spans="1:25" x14ac:dyDescent="0.25">
      <c r="A41" s="7" t="str">
        <f>A20</f>
        <v>O3 · Less: OEM productivity give-backs</v>
      </c>
      <c r="B41" s="18" t="str">
        <f>B20</f>
        <v>Overlap netting</v>
      </c>
      <c r="C41" s="20">
        <f>C20*IF(H20=1,Assumptions!$C$6,1)</f>
        <v>-1.69921875</v>
      </c>
      <c r="D41" s="20">
        <f>D20</f>
        <v>0</v>
      </c>
      <c r="E41" s="20">
        <f>C41-D41</f>
        <v>-1.69921875</v>
      </c>
      <c r="F41" s="30">
        <v>0.35</v>
      </c>
      <c r="G41" s="30">
        <v>0.8</v>
      </c>
      <c r="H41" s="30">
        <v>0</v>
      </c>
      <c r="I41" s="30">
        <v>0</v>
      </c>
      <c r="J41" s="20">
        <f>E20</f>
        <v>0</v>
      </c>
      <c r="K41" s="30">
        <v>0</v>
      </c>
      <c r="L41" s="20">
        <f>F20</f>
        <v>0</v>
      </c>
      <c r="M41" s="30">
        <v>0</v>
      </c>
      <c r="N41" s="20">
        <f>C41*F41-D41*H41-J41*K41</f>
        <v>-0.5947265625</v>
      </c>
      <c r="O41" s="20">
        <f>0.5*(C41*G41-D41*I41)-J41*(1-K41)</f>
        <v>-0.6796875</v>
      </c>
      <c r="P41" s="20">
        <f>N41+O41</f>
        <v>-1.2744140625</v>
      </c>
      <c r="Q41" s="20">
        <f>L41*M41</f>
        <v>0</v>
      </c>
      <c r="R41" s="20">
        <f>L41-Q41</f>
        <v>0</v>
      </c>
      <c r="U41" s="30">
        <v>1</v>
      </c>
      <c r="V41" s="30">
        <v>0</v>
      </c>
      <c r="W41" s="30">
        <v>0</v>
      </c>
      <c r="X41" s="33">
        <f>U41+V41+W41</f>
        <v>1</v>
      </c>
      <c r="Y41" s="10" t="s">
        <v>623</v>
      </c>
    </row>
    <row r="42" spans="1:18" x14ac:dyDescent="0.25">
      <c r="A42" s="24" t="s">
        <v>203</v>
      </c>
      <c r="C42" s="35">
        <f>SUM(C27:C41)</f>
        <v>29.14349396</v>
      </c>
      <c r="D42" s="35">
        <f>SUM(D27:D41)</f>
        <v>8.415</v>
      </c>
      <c r="E42" s="35">
        <f>SUM(E27:E41)</f>
        <v>20.72849396</v>
      </c>
      <c r="J42" s="35">
        <f>SUM(J27:J41)</f>
        <v>10.1</v>
      </c>
      <c r="L42" s="35">
        <f>SUM(L27:L41)</f>
        <v>29</v>
      </c>
      <c r="N42" s="35">
        <f>SUM(N27:N41)</f>
        <v>1.300666032</v>
      </c>
      <c r="O42" s="35">
        <f>SUM(O27:O41)</f>
        <v>3.4666014968</v>
      </c>
      <c r="P42" s="35">
        <f>SUM(P27:P41)</f>
        <v>4.7672675289</v>
      </c>
      <c r="Q42" s="35">
        <f>SUM(Q27:Q41)</f>
        <v>16.4</v>
      </c>
      <c r="R42" s="35">
        <f>SUM(R27:R41)</f>
        <v>12.6</v>
      </c>
    </row>
    <row r="44" spans="1:25" x14ac:dyDescent="0.25">
      <c r="A44" s="3" t="s">
        <v>624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8" x14ac:dyDescent="0.25">
      <c r="A45" s="5" t="s">
        <v>541</v>
      </c>
      <c r="C45" s="6" t="s">
        <v>591</v>
      </c>
      <c r="D45" s="6" t="s">
        <v>600</v>
      </c>
      <c r="E45" s="6" t="s">
        <v>601</v>
      </c>
      <c r="F45" s="6" t="s">
        <v>602</v>
      </c>
      <c r="G45" s="6" t="s">
        <v>596</v>
      </c>
      <c r="H45" s="6" t="s">
        <v>598</v>
      </c>
    </row>
    <row r="46" spans="1:8" x14ac:dyDescent="0.25">
      <c r="A46" s="7" t="s">
        <v>412</v>
      </c>
      <c r="C46" s="20">
        <f>SUMIF($B$27:$B$41,$A46,$E$27:$E$41)</f>
        <v>1.39</v>
      </c>
      <c r="D46" s="20">
        <f>SUMIF($B$27:$B$41,$A46,$N$27:$N$41)</f>
        <v>1.4175</v>
      </c>
      <c r="E46" s="20">
        <f>SUMIF($B$27:$B$41,$A46,$O$27:$O$41)</f>
        <v>-0.655</v>
      </c>
      <c r="F46" s="20">
        <f>SUMIF($B$27:$B$41,$A46,$P$27:$P$41)</f>
        <v>0.7625</v>
      </c>
      <c r="G46" s="20">
        <f>SUMIF($B$27:$B$41,$A46,$J$27:$J$41)</f>
        <v>1</v>
      </c>
      <c r="H46" s="20">
        <f>SUMIF($B$27:$B$41,$A46,$L$27:$L$41)</f>
        <v>10</v>
      </c>
    </row>
    <row r="47" spans="1:8" x14ac:dyDescent="0.25">
      <c r="A47" s="7" t="s">
        <v>556</v>
      </c>
      <c r="C47" s="20">
        <f>SUMIF($B$27:$B$41,$A47,$E$27:$E$41)</f>
        <v>1.99</v>
      </c>
      <c r="D47" s="20">
        <f>SUMIF($B$27:$B$41,$A47,$N$27:$N$41)</f>
        <v>-0.9165</v>
      </c>
      <c r="E47" s="20">
        <f>SUMIF($B$27:$B$41,$A47,$O$27:$O$41)</f>
        <v>-0.133125</v>
      </c>
      <c r="F47" s="20">
        <f>SUMIF($B$27:$B$41,$A47,$P$27:$P$41)</f>
        <v>-1.049625</v>
      </c>
      <c r="G47" s="20">
        <f>SUMIF($B$27:$B$41,$A47,$J$27:$J$41)</f>
        <v>2</v>
      </c>
      <c r="H47" s="20">
        <f>SUMIF($B$27:$B$41,$A47,$L$27:$L$41)</f>
        <v>8</v>
      </c>
    </row>
    <row r="48" spans="1:8" x14ac:dyDescent="0.25">
      <c r="A48" s="7" t="s">
        <v>561</v>
      </c>
      <c r="C48" s="20">
        <f>SUMIF($B$27:$B$41,$A48,$E$27:$E$41)</f>
        <v>2.604375</v>
      </c>
      <c r="D48" s="20">
        <f>SUMIF($B$27:$B$41,$A48,$N$27:$N$41)</f>
        <v>0.472</v>
      </c>
      <c r="E48" s="20">
        <f>SUMIF($B$27:$B$41,$A48,$O$27:$O$41)</f>
        <v>0.547375</v>
      </c>
      <c r="F48" s="20">
        <f>SUMIF($B$27:$B$41,$A48,$P$27:$P$41)</f>
        <v>1.019375</v>
      </c>
      <c r="G48" s="20">
        <f>SUMIF($B$27:$B$41,$A48,$J$27:$J$41)</f>
        <v>1.3</v>
      </c>
      <c r="H48" s="20">
        <f>SUMIF($B$27:$B$41,$A48,$L$27:$L$41)</f>
        <v>4</v>
      </c>
    </row>
    <row r="49" spans="1:8" x14ac:dyDescent="0.25">
      <c r="A49" s="7" t="s">
        <v>566</v>
      </c>
      <c r="C49" s="20">
        <f>SUMIF($B$27:$B$41,$A49,$E$27:$E$41)</f>
        <v>5.0328781513</v>
      </c>
      <c r="D49" s="20">
        <f>SUMIF($B$27:$B$41,$A49,$N$27:$N$41)</f>
        <v>0.37453781513</v>
      </c>
      <c r="E49" s="20">
        <f>SUMIF($B$27:$B$41,$A49,$O$27:$O$41)</f>
        <v>1.1745509454</v>
      </c>
      <c r="F49" s="20">
        <f>SUMIF($B$27:$B$41,$A49,$P$27:$P$41)</f>
        <v>1.5490887605</v>
      </c>
      <c r="G49" s="20">
        <f>SUMIF($B$27:$B$41,$A49,$J$27:$J$41)</f>
        <v>1.8</v>
      </c>
      <c r="H49" s="20">
        <f>SUMIF($B$27:$B$41,$A49,$L$27:$L$41)</f>
        <v>5</v>
      </c>
    </row>
    <row r="50" spans="1:8" x14ac:dyDescent="0.25">
      <c r="A50" s="7" t="s">
        <v>571</v>
      </c>
      <c r="C50" s="20">
        <f>SUMIF($B$27:$B$41,$A50,$E$27:$E$41)</f>
        <v>3.634375</v>
      </c>
      <c r="D50" s="20">
        <f>SUMIF($B$27:$B$41,$A50,$N$27:$N$41)</f>
        <v>0.9171875</v>
      </c>
      <c r="E50" s="20">
        <f>SUMIF($B$27:$B$41,$A50,$O$27:$O$41)</f>
        <v>1.41046875</v>
      </c>
      <c r="F50" s="20">
        <f>SUMIF($B$27:$B$41,$A50,$P$27:$P$41)</f>
        <v>2.32765625</v>
      </c>
      <c r="G50" s="20">
        <f>SUMIF($B$27:$B$41,$A50,$J$27:$J$41)</f>
        <v>1</v>
      </c>
      <c r="H50" s="20">
        <f>SUMIF($B$27:$B$41,$A50,$L$27:$L$41)</f>
        <v>0</v>
      </c>
    </row>
    <row r="51" spans="1:8" x14ac:dyDescent="0.25">
      <c r="A51" s="7" t="s">
        <v>574</v>
      </c>
      <c r="C51" s="20">
        <f>SUMIF($B$27:$B$41,$A51,$E$27:$E$41)</f>
        <v>8.15875</v>
      </c>
      <c r="D51" s="20">
        <f>SUMIF($B$27:$B$41,$A51,$N$27:$N$41)</f>
        <v>0.665</v>
      </c>
      <c r="E51" s="20">
        <f>SUMIF($B$27:$B$41,$A51,$O$27:$O$41)</f>
        <v>2.49571875</v>
      </c>
      <c r="F51" s="20">
        <f>SUMIF($B$27:$B$41,$A51,$P$27:$P$41)</f>
        <v>3.16071875</v>
      </c>
      <c r="G51" s="20">
        <f>SUMIF($B$27:$B$41,$A51,$J$27:$J$41)</f>
        <v>2</v>
      </c>
      <c r="H51" s="20">
        <f>SUMIF($B$27:$B$41,$A51,$L$27:$L$41)</f>
        <v>0</v>
      </c>
    </row>
    <row r="52" spans="1:8" x14ac:dyDescent="0.25">
      <c r="A52" s="7" t="s">
        <v>579</v>
      </c>
      <c r="C52" s="20">
        <f>SUMIF($B$27:$B$41,$A52,$E$27:$E$41)</f>
        <v>0.6075</v>
      </c>
      <c r="D52" s="20">
        <f>SUMIF($B$27:$B$41,$A52,$N$27:$N$41)</f>
        <v>-0.53925</v>
      </c>
      <c r="E52" s="20">
        <f>SUMIF($B$27:$B$41,$A52,$O$27:$O$41)</f>
        <v>-0.248125</v>
      </c>
      <c r="F52" s="20">
        <f>SUMIF($B$27:$B$41,$A52,$P$27:$P$41)</f>
        <v>-0.787375</v>
      </c>
      <c r="G52" s="20">
        <f>SUMIF($B$27:$B$41,$A52,$J$27:$J$41)</f>
        <v>1</v>
      </c>
      <c r="H52" s="20">
        <f>SUMIF($B$27:$B$41,$A52,$L$27:$L$41)</f>
        <v>2</v>
      </c>
    </row>
    <row r="53" spans="1:8" x14ac:dyDescent="0.25">
      <c r="A53" s="7" t="s">
        <v>582</v>
      </c>
      <c r="C53" s="20">
        <f>SUMIF($B$27:$B$41,$A53,$E$27:$E$41)</f>
        <v>-2.6893841912</v>
      </c>
      <c r="D53" s="20">
        <f>SUMIF($B$27:$B$41,$A53,$N$27:$N$41)</f>
        <v>-1.0898092831</v>
      </c>
      <c r="E53" s="20">
        <f>SUMIF($B$27:$B$41,$A53,$O$27:$O$41)</f>
        <v>-1.1252619485</v>
      </c>
      <c r="F53" s="20">
        <f>SUMIF($B$27:$B$41,$A53,$P$27:$P$41)</f>
        <v>-2.2150712316</v>
      </c>
      <c r="G53" s="20">
        <f>SUMIF($B$27:$B$41,$A53,$J$27:$J$41)</f>
        <v>0</v>
      </c>
      <c r="H53" s="20">
        <f>SUMIF($B$27:$B$41,$A53,$L$27:$L$41)</f>
        <v>0</v>
      </c>
    </row>
    <row r="54" spans="1:8" x14ac:dyDescent="0.25">
      <c r="A54" s="24" t="s">
        <v>203</v>
      </c>
      <c r="C54" s="25">
        <f>SUM(C46:C53)</f>
        <v>20.72849396</v>
      </c>
      <c r="D54" s="25">
        <f>SUM(D46:D53)</f>
        <v>1.300666032</v>
      </c>
      <c r="E54" s="25">
        <f>SUM(E46:E53)</f>
        <v>3.4666014968</v>
      </c>
      <c r="F54" s="25">
        <f>SUM(F46:F53)</f>
        <v>4.7672675289</v>
      </c>
      <c r="G54" s="25">
        <f>SUM(G46:G53)</f>
        <v>10.1</v>
      </c>
      <c r="H54" s="25">
        <f>SUM(H46:H53)</f>
        <v>29</v>
      </c>
    </row>
    <row r="55" spans="1:3" x14ac:dyDescent="0.25">
      <c r="A55" s="26" t="s">
        <v>625</v>
      </c>
      <c r="C55" s="28">
        <f>C54-E42</f>
        <v>0</v>
      </c>
    </row>
    <row r="57" spans="1:25" x14ac:dyDescent="0.25">
      <c r="A57" s="3" t="s">
        <v>626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5" x14ac:dyDescent="0.25">
      <c r="A58" s="5" t="s">
        <v>10</v>
      </c>
      <c r="C58" s="6" t="s">
        <v>627</v>
      </c>
      <c r="D58" s="6" t="s">
        <v>628</v>
      </c>
      <c r="E58" s="6" t="s">
        <v>629</v>
      </c>
    </row>
    <row r="59" spans="1:5" x14ac:dyDescent="0.25">
      <c r="A59" s="7" t="s">
        <v>630</v>
      </c>
      <c r="C59" s="12">
        <f>Diagnosis!$F$21</f>
        <v>100.08064516</v>
      </c>
      <c r="D59" s="12">
        <f>Assumptions!$C$80</f>
        <v>96</v>
      </c>
      <c r="E59" s="12">
        <f>Assumptions!$C$81</f>
        <v>90</v>
      </c>
    </row>
    <row r="60" spans="1:5" x14ac:dyDescent="0.25">
      <c r="A60" s="7" t="s">
        <v>631</v>
      </c>
      <c r="C60" s="12">
        <f>Case_Financials!$F$32</f>
        <v>255</v>
      </c>
      <c r="D60" s="20">
        <f>D59*Case_Financials!$F$7/365</f>
        <v>244.60273973</v>
      </c>
      <c r="E60" s="20">
        <f>E59*Case_Financials!$F$7/365</f>
        <v>229.31506849</v>
      </c>
    </row>
    <row r="61" spans="1:5" x14ac:dyDescent="0.25">
      <c r="A61" s="7" t="s">
        <v>632</v>
      </c>
      <c r="D61" s="20">
        <f>C60-D60</f>
        <v>10.397260274</v>
      </c>
      <c r="E61" s="20">
        <f>D60-E60</f>
        <v>15.287671233</v>
      </c>
    </row>
    <row r="62" spans="1:5" x14ac:dyDescent="0.25">
      <c r="A62" s="7" t="s">
        <v>633</v>
      </c>
      <c r="C62" s="12">
        <f>Diagnosis!$F$22</f>
        <v>52.756302521</v>
      </c>
      <c r="D62" s="12">
        <f>Assumptions!$C$82</f>
        <v>51</v>
      </c>
      <c r="E62" s="12">
        <f>Assumptions!$C$83</f>
        <v>49</v>
      </c>
    </row>
    <row r="63" spans="1:5" x14ac:dyDescent="0.25">
      <c r="A63" s="7" t="s">
        <v>634</v>
      </c>
      <c r="C63" s="12">
        <f>Case_Financials!$F$31</f>
        <v>172</v>
      </c>
      <c r="D63" s="20">
        <f>D62*Case_Financials!$F$6/365</f>
        <v>166.2739726</v>
      </c>
      <c r="E63" s="20">
        <f>E62*Case_Financials!$F$6/365</f>
        <v>159.75342466</v>
      </c>
    </row>
    <row r="64" spans="1:5" x14ac:dyDescent="0.25">
      <c r="A64" s="7" t="s">
        <v>635</v>
      </c>
      <c r="D64" s="20">
        <f>C63-D63</f>
        <v>5.7260273973</v>
      </c>
      <c r="E64" s="20">
        <f>D63-E63</f>
        <v>6.5205479452</v>
      </c>
    </row>
    <row r="65" spans="1:25" x14ac:dyDescent="0.25">
      <c r="A65" s="24" t="s">
        <v>636</v>
      </c>
      <c r="D65" s="35">
        <f>D61+D64</f>
        <v>16.123287671</v>
      </c>
      <c r="E65" s="35">
        <f>E61+E64</f>
        <v>21.808219178</v>
      </c>
      <c r="Y65" s="10" t="s">
        <v>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8" customWidth="1"/>
    <col min="3" max="9" width="11" customWidth="1"/>
    <col min="10" max="11" width="12" customWidth="1"/>
    <col min="12" max="12" width="70" customWidth="1"/>
  </cols>
  <sheetData>
    <row r="1" spans="1:1" x14ac:dyDescent="0.25">
      <c r="A1" s="1" t="s">
        <v>638</v>
      </c>
    </row>
    <row r="2" spans="1:1" x14ac:dyDescent="0.25">
      <c r="A2" s="2" t="s">
        <v>639</v>
      </c>
    </row>
    <row r="4" spans="1:12" x14ac:dyDescent="0.25">
      <c r="A4" s="5" t="s">
        <v>10</v>
      </c>
      <c r="C4" s="6" t="s">
        <v>627</v>
      </c>
      <c r="D4" s="6" t="s">
        <v>640</v>
      </c>
      <c r="E4" s="6" t="s">
        <v>641</v>
      </c>
      <c r="F4" s="6" t="s">
        <v>642</v>
      </c>
      <c r="G4" s="6" t="s">
        <v>643</v>
      </c>
      <c r="H4" s="6" t="s">
        <v>644</v>
      </c>
      <c r="I4" s="6" t="s">
        <v>645</v>
      </c>
      <c r="J4" s="6" t="s">
        <v>646</v>
      </c>
      <c r="K4" s="6" t="s">
        <v>647</v>
      </c>
      <c r="L4" s="6" t="s">
        <v>22</v>
      </c>
    </row>
    <row r="5" spans="1:12" x14ac:dyDescent="0.25">
      <c r="A5" s="3" t="s">
        <v>116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7" t="s">
        <v>648</v>
      </c>
      <c r="C6" s="12">
        <f>Case_Financials!$F$10</f>
        <v>25</v>
      </c>
      <c r="D6" s="20">
        <f>C6</f>
        <v>25</v>
      </c>
      <c r="E6" s="20">
        <f>C6*0.5</f>
        <v>12.5</v>
      </c>
      <c r="F6" s="20">
        <f>D6+E6</f>
        <v>37.5</v>
      </c>
      <c r="G6" s="20">
        <f>C6</f>
        <v>25</v>
      </c>
      <c r="H6" s="20">
        <f>C6*0.5</f>
        <v>12.5</v>
      </c>
      <c r="I6" s="20">
        <f>G6+H6</f>
        <v>37.5</v>
      </c>
      <c r="J6" s="20">
        <f>C6</f>
        <v>25</v>
      </c>
      <c r="K6" s="20">
        <f>C6</f>
        <v>25</v>
      </c>
      <c r="L6" s="10" t="s">
        <v>649</v>
      </c>
    </row>
    <row r="7" spans="1:12" x14ac:dyDescent="0.25">
      <c r="A7" s="7" t="s">
        <v>650</v>
      </c>
      <c r="D7" s="12">
        <f>Diagnosis!$C$66</f>
        <v>17</v>
      </c>
      <c r="E7" s="20">
        <f>Diagnosis!$C$64*0.5</f>
        <v>11.5</v>
      </c>
      <c r="F7" s="20">
        <f>D7+E7</f>
        <v>28.5</v>
      </c>
      <c r="G7" s="20">
        <f>D7</f>
        <v>17</v>
      </c>
      <c r="H7" s="20">
        <f>E7</f>
        <v>11.5</v>
      </c>
      <c r="I7" s="20">
        <f>G7+H7</f>
        <v>28.5</v>
      </c>
      <c r="J7" s="12">
        <f>Diagnosis!$C$64</f>
        <v>23</v>
      </c>
      <c r="K7" s="12">
        <f>Diagnosis!$C$64</f>
        <v>23</v>
      </c>
      <c r="L7" s="10" t="s">
        <v>651</v>
      </c>
    </row>
    <row r="8" spans="1:12" x14ac:dyDescent="0.25">
      <c r="A8" s="7" t="s">
        <v>652</v>
      </c>
      <c r="D8" s="23">
        <v>0</v>
      </c>
      <c r="E8" s="23">
        <v>0</v>
      </c>
      <c r="F8" s="20">
        <f>D8+E8</f>
        <v>0</v>
      </c>
      <c r="G8" s="12">
        <f>Initiatives!$N$42</f>
        <v>1.300666032</v>
      </c>
      <c r="H8" s="12">
        <f>Initiatives!$O$42</f>
        <v>3.4666014968</v>
      </c>
      <c r="I8" s="20">
        <f>G8+H8</f>
        <v>4.7672675289</v>
      </c>
      <c r="J8" s="23">
        <v>0</v>
      </c>
      <c r="K8" s="12">
        <f>Initiatives!$E$42</f>
        <v>20.72849396</v>
      </c>
      <c r="L8" s="10" t="s">
        <v>653</v>
      </c>
    </row>
    <row r="9" spans="1:11" x14ac:dyDescent="0.25">
      <c r="A9" s="24" t="s">
        <v>116</v>
      </c>
      <c r="C9" s="35">
        <f>SUM(C6:C8)</f>
        <v>25</v>
      </c>
      <c r="D9" s="35">
        <f>SUM(D6:D8)</f>
        <v>42</v>
      </c>
      <c r="E9" s="35">
        <f>SUM(E6:E8)</f>
        <v>24</v>
      </c>
      <c r="F9" s="35">
        <f>SUM(F6:F8)</f>
        <v>66</v>
      </c>
      <c r="G9" s="35">
        <f>SUM(G6:G8)</f>
        <v>43.300666032</v>
      </c>
      <c r="H9" s="35">
        <f>SUM(H6:H8)</f>
        <v>27.466601497</v>
      </c>
      <c r="I9" s="35">
        <f>SUM(I6:I8)</f>
        <v>70.767267529</v>
      </c>
      <c r="J9" s="35">
        <f>SUM(J6:J8)</f>
        <v>48</v>
      </c>
      <c r="K9" s="35">
        <f>SUM(K6:K8)</f>
        <v>68.72849396</v>
      </c>
    </row>
    <row r="10" spans="1:12" x14ac:dyDescent="0.25">
      <c r="A10" s="7" t="s">
        <v>654</v>
      </c>
      <c r="C10" s="12">
        <f>Case_Financials!$F$6</f>
        <v>1190</v>
      </c>
      <c r="J10" s="12">
        <f>Case_Financials!$F$6</f>
        <v>1190</v>
      </c>
      <c r="K10" s="20">
        <f>Case_Financials!$F$6+Initiatives!$G$21*Assumptions!$C$6</f>
        <v>1198.30625</v>
      </c>
      <c r="L10" s="10" t="s">
        <v>655</v>
      </c>
    </row>
    <row r="11" spans="1:11" x14ac:dyDescent="0.25">
      <c r="A11" s="7" t="s">
        <v>656</v>
      </c>
      <c r="C11" s="33">
        <f>C9/C10</f>
        <v>0.021008403361</v>
      </c>
      <c r="J11" s="33">
        <f>J9/J10</f>
        <v>0.040336134454</v>
      </c>
      <c r="K11" s="33">
        <f>K9/K10</f>
        <v>0.057354698734</v>
      </c>
    </row>
    <row r="12" spans="1:12" x14ac:dyDescent="0.25">
      <c r="A12" s="3" t="s">
        <v>657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7" t="s">
        <v>658</v>
      </c>
      <c r="C13" s="20">
        <f>-Case_Financials!$F$13</f>
        <v>-40</v>
      </c>
      <c r="D13" s="20">
        <f>-Assumptions!$C$9*(Case_Financials!$F$41+Case_Financials!$F$44)</f>
        <v>-42.28956229</v>
      </c>
      <c r="E13" s="20">
        <f>-Assumptions!$C$9*D27*0.5</f>
        <v>-23.649550499</v>
      </c>
      <c r="F13" s="20">
        <f>D13+E13</f>
        <v>-65.939112789</v>
      </c>
      <c r="G13" s="20">
        <f>-Assumptions!$C$9*(Case_Financials!$F$41+Case_Financials!$F$44)</f>
        <v>-42.28956229</v>
      </c>
      <c r="H13" s="20">
        <f>-Assumptions!$C$9*G27*0.5</f>
        <v>-22.679208312</v>
      </c>
      <c r="I13" s="20">
        <f>G13+H13</f>
        <v>-64.968770602</v>
      </c>
      <c r="J13" s="20">
        <f>-Assumptions!$C$9*E27</f>
        <v>-49.925061615</v>
      </c>
      <c r="K13" s="20">
        <f>-Assumptions!$C$9*H27</f>
        <v>-46.277413083</v>
      </c>
      <c r="L13" s="10" t="s">
        <v>659</v>
      </c>
    </row>
    <row r="14" spans="1:12" x14ac:dyDescent="0.25">
      <c r="A14" s="7" t="s">
        <v>660</v>
      </c>
      <c r="C14" s="23">
        <v>0</v>
      </c>
      <c r="D14" s="20">
        <f>-Assumptions!$C$10*Case_Financials!$F$41*0.5</f>
        <v>-2.7</v>
      </c>
      <c r="E14" s="20">
        <f>-Assumptions!$C$10*(Case_Financials!$F$41+D25)*0.5</f>
        <v>-4.0948434343</v>
      </c>
      <c r="F14" s="20">
        <f>D14+E14</f>
        <v>-6.7948434343</v>
      </c>
      <c r="G14" s="20">
        <f>-Assumptions!$C$10*Case_Financials!$F$41*0.5</f>
        <v>-2.7</v>
      </c>
      <c r="H14" s="20">
        <f>-Assumptions!$C$10*(Case_Financials!$F$41+G25)*0.5</f>
        <v>-3.5544841288</v>
      </c>
      <c r="I14" s="20">
        <f>G14+H14</f>
        <v>-6.2544841288</v>
      </c>
      <c r="J14" s="20">
        <f>-Assumptions!$C$10*(Case_Financials!$F$41+F25)</f>
        <v>-9.6520186867</v>
      </c>
      <c r="K14" s="20">
        <f>-Assumptions!$C$10*(Case_Financials!$F$41+I25)</f>
        <v>-7.6207344106</v>
      </c>
      <c r="L14" s="10" t="s">
        <v>661</v>
      </c>
    </row>
    <row r="15" spans="1:11" x14ac:dyDescent="0.25">
      <c r="A15" s="24" t="s">
        <v>119</v>
      </c>
      <c r="C15" s="25">
        <f>C13+C14</f>
        <v>-40</v>
      </c>
      <c r="D15" s="25">
        <f>D13+D14</f>
        <v>-44.98956229</v>
      </c>
      <c r="E15" s="25">
        <f>E13+E14</f>
        <v>-27.744393934</v>
      </c>
      <c r="F15" s="25">
        <f>F13+F14</f>
        <v>-72.733956223</v>
      </c>
      <c r="G15" s="25">
        <f>G13+G14</f>
        <v>-44.98956229</v>
      </c>
      <c r="H15" s="25">
        <f>H13+H14</f>
        <v>-26.233692441</v>
      </c>
      <c r="I15" s="25">
        <f>I13+I14</f>
        <v>-71.22325473</v>
      </c>
      <c r="J15" s="25">
        <f>J13+J14</f>
        <v>-59.577080301</v>
      </c>
      <c r="K15" s="25">
        <f>K13+K14</f>
        <v>-53.898147494</v>
      </c>
    </row>
    <row r="16" spans="1:12" x14ac:dyDescent="0.25">
      <c r="A16" s="7" t="s">
        <v>391</v>
      </c>
      <c r="C16" s="20">
        <f>-Case_Financials!$F$15</f>
        <v>0</v>
      </c>
      <c r="D16" s="20">
        <f>-Assumptions!$C$12</f>
        <v>0</v>
      </c>
      <c r="E16" s="20">
        <f>-Assumptions!$C$12*0.5</f>
        <v>0</v>
      </c>
      <c r="F16" s="20">
        <f>D16+E16</f>
        <v>0</v>
      </c>
      <c r="G16" s="20">
        <f>-Assumptions!$C$12</f>
        <v>0</v>
      </c>
      <c r="H16" s="20">
        <f>-Assumptions!$C$12*0.5</f>
        <v>0</v>
      </c>
      <c r="I16" s="20">
        <f>G16+H16</f>
        <v>0</v>
      </c>
      <c r="L16" s="10" t="s">
        <v>662</v>
      </c>
    </row>
    <row r="17" spans="1:12" x14ac:dyDescent="0.25">
      <c r="A17" s="7" t="s">
        <v>663</v>
      </c>
      <c r="C17" s="12">
        <f>Case_Financials!$F$67</f>
        <v>-11</v>
      </c>
      <c r="D17" s="23">
        <v>0</v>
      </c>
      <c r="E17" s="23">
        <v>0</v>
      </c>
      <c r="F17" s="20">
        <f>D17+E17</f>
        <v>0</v>
      </c>
      <c r="G17" s="12">
        <f>Initiatives!$D$65</f>
        <v>16.123287671</v>
      </c>
      <c r="H17" s="12">
        <f>Initiatives!$E$65</f>
        <v>21.808219178</v>
      </c>
      <c r="I17" s="20">
        <f>G17+H17</f>
        <v>37.931506849</v>
      </c>
      <c r="L17" s="10" t="s">
        <v>664</v>
      </c>
    </row>
    <row r="18" spans="1:9" x14ac:dyDescent="0.25">
      <c r="A18" s="24" t="s">
        <v>175</v>
      </c>
      <c r="C18" s="25">
        <f>C9+C15+C16+C17</f>
        <v>-26</v>
      </c>
      <c r="D18" s="25">
        <f>D9+D15+D16+D17</f>
        <v>-2.9895622896</v>
      </c>
      <c r="E18" s="25">
        <f>E9+E15+E16+E17</f>
        <v>-3.7443939337</v>
      </c>
      <c r="F18" s="25">
        <f>F9+F15+F16+F17</f>
        <v>-6.7339562233</v>
      </c>
      <c r="G18" s="25">
        <f>G9+G15+G16+G17</f>
        <v>14.434391414</v>
      </c>
      <c r="H18" s="25">
        <f>H9+H15+H16+H17</f>
        <v>23.041128234</v>
      </c>
      <c r="I18" s="25">
        <f>I9+I15+I16+I17</f>
        <v>37.475519648</v>
      </c>
    </row>
    <row r="19" spans="1:12" x14ac:dyDescent="0.25">
      <c r="A19" s="7" t="s">
        <v>665</v>
      </c>
      <c r="C19" s="12">
        <f>Case_Financials!$F$69</f>
        <v>-45</v>
      </c>
      <c r="D19" s="20">
        <f>-Assumptions!$C$21</f>
        <v>-45</v>
      </c>
      <c r="E19" s="20">
        <f>-Assumptions!$C$21*0.5</f>
        <v>-22.5</v>
      </c>
      <c r="F19" s="20">
        <f>D19+E19</f>
        <v>-67.5</v>
      </c>
      <c r="G19" s="20">
        <f>-Assumptions!$C$21</f>
        <v>-45</v>
      </c>
      <c r="H19" s="20">
        <f>-Assumptions!$C$21*0.5</f>
        <v>-22.5</v>
      </c>
      <c r="I19" s="20">
        <f>G19+H19</f>
        <v>-67.5</v>
      </c>
      <c r="L19" s="10" t="s">
        <v>666</v>
      </c>
    </row>
    <row r="20" spans="1:12" x14ac:dyDescent="0.25">
      <c r="A20" s="7" t="s">
        <v>667</v>
      </c>
      <c r="C20" s="12">
        <f>Case_Financials!$F$70</f>
        <v>-25</v>
      </c>
      <c r="D20" s="20">
        <f>-Assumptions!$C$17</f>
        <v>-25</v>
      </c>
      <c r="E20" s="20">
        <f>-Assumptions!$C$17*0.5</f>
        <v>-12.5</v>
      </c>
      <c r="F20" s="20">
        <f>D20+E20</f>
        <v>-37.5</v>
      </c>
      <c r="G20" s="20">
        <f>-Assumptions!$C$22</f>
        <v>-10</v>
      </c>
      <c r="H20" s="20">
        <f>-Assumptions!$C$22*0.5</f>
        <v>-5</v>
      </c>
      <c r="I20" s="20">
        <f>G20+H20</f>
        <v>-15</v>
      </c>
      <c r="L20" s="10" t="s">
        <v>668</v>
      </c>
    </row>
    <row r="21" spans="1:12" x14ac:dyDescent="0.25">
      <c r="A21" s="7" t="s">
        <v>669</v>
      </c>
      <c r="C21" s="12">
        <f>Case_Financials!$F$71</f>
        <v>-45</v>
      </c>
      <c r="D21" s="20">
        <f>-Assumptions!$C$18*Assumptions!$C$19</f>
        <v>-20</v>
      </c>
      <c r="E21" s="20">
        <f>-Assumptions!$C$18*(1-Assumptions!$C$19)</f>
        <v>-10</v>
      </c>
      <c r="F21" s="20">
        <f>D21+E21</f>
        <v>-30</v>
      </c>
      <c r="G21" s="20">
        <f>-Initiatives!$Q$42</f>
        <v>-16.4</v>
      </c>
      <c r="H21" s="20">
        <f>-Initiatives!$R$42</f>
        <v>-12.6</v>
      </c>
      <c r="I21" s="20">
        <f>G21+H21</f>
        <v>-29</v>
      </c>
      <c r="L21" s="10" t="s">
        <v>670</v>
      </c>
    </row>
    <row r="22" spans="1:9" x14ac:dyDescent="0.25">
      <c r="A22" s="24" t="s">
        <v>671</v>
      </c>
      <c r="C22" s="25">
        <f>SUM(C19:C21)</f>
        <v>-115</v>
      </c>
      <c r="D22" s="25">
        <f>SUM(D19:D21)</f>
        <v>-90</v>
      </c>
      <c r="E22" s="25">
        <f>SUM(E19:E21)</f>
        <v>-45</v>
      </c>
      <c r="F22" s="25">
        <f>SUM(F19:F21)</f>
        <v>-135</v>
      </c>
      <c r="G22" s="25">
        <f>SUM(G19:G21)</f>
        <v>-71.4</v>
      </c>
      <c r="H22" s="25">
        <f>SUM(H19:H21)</f>
        <v>-40.1</v>
      </c>
      <c r="I22" s="25">
        <f>SUM(I19:I21)</f>
        <v>-111.5</v>
      </c>
    </row>
    <row r="23" spans="1:9" x14ac:dyDescent="0.25">
      <c r="A23" s="24" t="s">
        <v>672</v>
      </c>
      <c r="C23" s="35">
        <f>C18+C22</f>
        <v>-141</v>
      </c>
      <c r="D23" s="35">
        <f>D18+D22</f>
        <v>-92.98956229</v>
      </c>
      <c r="E23" s="35">
        <f>E18+E22</f>
        <v>-48.744393934</v>
      </c>
      <c r="F23" s="35">
        <f>F18+F22</f>
        <v>-141.73395622</v>
      </c>
      <c r="G23" s="35">
        <f>G18+G22</f>
        <v>-56.965608586</v>
      </c>
      <c r="H23" s="35">
        <f>H18+H22</f>
        <v>-17.058871766</v>
      </c>
      <c r="I23" s="35">
        <f>I18+I22</f>
        <v>-74.024480352</v>
      </c>
    </row>
    <row r="24" spans="1:12" x14ac:dyDescent="0.25">
      <c r="A24" s="3" t="s">
        <v>673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9" x14ac:dyDescent="0.25">
      <c r="A25" s="7" t="s">
        <v>674</v>
      </c>
      <c r="D25" s="20">
        <f>-D23-(Case_Financials!$F$30-Assumptions!$C$11)</f>
        <v>92.98956229</v>
      </c>
      <c r="E25" s="20">
        <f>-E23</f>
        <v>48.744393934</v>
      </c>
      <c r="F25" s="20">
        <f>D25+E25</f>
        <v>141.73395622</v>
      </c>
      <c r="G25" s="20">
        <f>-G23-(Case_Financials!$F$30-Assumptions!$C$11)</f>
        <v>56.965608586</v>
      </c>
      <c r="H25" s="20">
        <f>-H23</f>
        <v>17.058871766</v>
      </c>
      <c r="I25" s="20">
        <f>G25+H25</f>
        <v>74.024480352</v>
      </c>
    </row>
    <row r="26" spans="1:9" x14ac:dyDescent="0.25">
      <c r="A26" s="7" t="s">
        <v>189</v>
      </c>
      <c r="C26" s="12">
        <f>Case_Financials!$F$30</f>
        <v>30</v>
      </c>
      <c r="D26" s="12">
        <f>Assumptions!$C$11</f>
        <v>30</v>
      </c>
      <c r="E26" s="12">
        <f>Assumptions!$C$11</f>
        <v>30</v>
      </c>
      <c r="F26" s="20">
        <f>E26</f>
        <v>30</v>
      </c>
      <c r="G26" s="12">
        <f>Assumptions!$C$11</f>
        <v>30</v>
      </c>
      <c r="H26" s="12">
        <f>Assumptions!$C$11</f>
        <v>30</v>
      </c>
      <c r="I26" s="20">
        <f>H26</f>
        <v>30</v>
      </c>
    </row>
    <row r="27" spans="1:9" x14ac:dyDescent="0.25">
      <c r="A27" s="7" t="s">
        <v>675</v>
      </c>
      <c r="C27" s="20">
        <f>(Case_Financials!$F$41+Case_Financials!$F$44)</f>
        <v>785</v>
      </c>
      <c r="D27" s="20">
        <f>C27+D25</f>
        <v>877.98956229</v>
      </c>
      <c r="E27" s="20">
        <f>D27+E25</f>
        <v>926.73395622</v>
      </c>
      <c r="F27" s="20">
        <f>E27</f>
        <v>926.73395622</v>
      </c>
      <c r="G27" s="20">
        <f>C27+G25</f>
        <v>841.96560859</v>
      </c>
      <c r="H27" s="20">
        <f>G27+H25</f>
        <v>859.02448035</v>
      </c>
      <c r="I27" s="20">
        <f>H27</f>
        <v>859.02448035</v>
      </c>
    </row>
    <row r="28" spans="1:11" x14ac:dyDescent="0.25">
      <c r="A28" s="24" t="s">
        <v>291</v>
      </c>
      <c r="C28" s="35">
        <f>C27-C26</f>
        <v>755</v>
      </c>
      <c r="D28" s="35">
        <f>D27-D26</f>
        <v>847.98956229</v>
      </c>
      <c r="E28" s="35">
        <f>E27-E26</f>
        <v>896.73395622</v>
      </c>
      <c r="F28" s="35">
        <f>F27-F26</f>
        <v>896.73395622</v>
      </c>
      <c r="G28" s="35">
        <f>G27-G26</f>
        <v>811.96560859</v>
      </c>
      <c r="H28" s="35">
        <f>H27-H26</f>
        <v>829.02448035</v>
      </c>
      <c r="I28" s="35">
        <f>I27-I26</f>
        <v>829.02448035</v>
      </c>
      <c r="J28" s="35">
        <f>E28</f>
        <v>896.73395622</v>
      </c>
      <c r="K28" s="35">
        <f>H28</f>
        <v>829.02448035</v>
      </c>
    </row>
    <row r="29" spans="1:12" x14ac:dyDescent="0.25">
      <c r="A29" s="3" t="s">
        <v>676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1" x14ac:dyDescent="0.25">
      <c r="A30" s="7" t="s">
        <v>677</v>
      </c>
      <c r="C30" s="36">
        <f>C28/C9</f>
        <v>30.2</v>
      </c>
      <c r="D30" s="36">
        <f>D28/D9</f>
        <v>20.190227674</v>
      </c>
      <c r="E30" s="36">
        <f>E28/J9</f>
        <v>18.681957421</v>
      </c>
      <c r="F30" s="36">
        <f>E30</f>
        <v>18.681957421</v>
      </c>
      <c r="G30" s="36">
        <f>G28/G9</f>
        <v>18.751804141</v>
      </c>
      <c r="H30" s="36">
        <f>H28/K9</f>
        <v>12.062311169</v>
      </c>
      <c r="I30" s="36">
        <f>H30</f>
        <v>12.062311169</v>
      </c>
      <c r="J30" s="36">
        <f>J28/J9</f>
        <v>18.681957421</v>
      </c>
      <c r="K30" s="36">
        <f>K28/K9</f>
        <v>12.062311169</v>
      </c>
    </row>
    <row r="31" spans="1:11" x14ac:dyDescent="0.25">
      <c r="A31" s="7" t="s">
        <v>678</v>
      </c>
      <c r="C31" s="36">
        <f>C9/-C15</f>
        <v>0.625</v>
      </c>
      <c r="D31" s="36">
        <f>D9/-D15</f>
        <v>0.9335498694</v>
      </c>
      <c r="E31" s="36">
        <f>E9/-E15</f>
        <v>0.86503962052</v>
      </c>
      <c r="F31" s="36">
        <f>F9/-F15</f>
        <v>0.90741661016</v>
      </c>
      <c r="G31" s="36">
        <f>G9/-G15</f>
        <v>0.96246026475</v>
      </c>
      <c r="H31" s="36">
        <f>H9/-H15</f>
        <v>1.0469971606</v>
      </c>
      <c r="I31" s="36">
        <f>I9/-I15</f>
        <v>0.99359777641</v>
      </c>
      <c r="J31" s="36">
        <f>J9/-J15</f>
        <v>0.80567895837</v>
      </c>
      <c r="K31" s="36">
        <f>K9/-K15</f>
        <v>1.2751550314</v>
      </c>
    </row>
    <row r="32" spans="1:11" x14ac:dyDescent="0.25">
      <c r="A32" s="26" t="s">
        <v>679</v>
      </c>
      <c r="D32" s="28">
        <f>D9-Assumptions!$C$13+D15</f>
        <v>-92.98956229</v>
      </c>
      <c r="E32" s="28">
        <f>E9-Assumptions!$C$13*0.5+E15</f>
        <v>-48.744393934</v>
      </c>
      <c r="G32" s="28">
        <f>G9-Assumptions!$C$13+G15</f>
        <v>-91.688896258</v>
      </c>
      <c r="H32" s="28">
        <f>H9-Assumptions!$C$13*0.5+H15</f>
        <v>-43.767090944</v>
      </c>
      <c r="J32" s="28">
        <f>J9-Assumptions!$C$13+J15</f>
        <v>-101.5770803</v>
      </c>
      <c r="K32" s="28">
        <f>K9-Assumptions!$C$13+K15</f>
        <v>-75.169653533</v>
      </c>
    </row>
    <row r="34" spans="1:12" x14ac:dyDescent="0.25">
      <c r="A34" s="3" t="s">
        <v>680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3:12" x14ac:dyDescent="0.25">
      <c r="C35" s="6" t="s">
        <v>681</v>
      </c>
      <c r="D35" s="6" t="s">
        <v>6</v>
      </c>
      <c r="E35" s="6" t="s">
        <v>21</v>
      </c>
      <c r="L35" s="6" t="s">
        <v>22</v>
      </c>
    </row>
    <row r="36" spans="1:12" x14ac:dyDescent="0.25">
      <c r="A36" s="7" t="s">
        <v>682</v>
      </c>
      <c r="C36" s="20">
        <f>0.5*D9+E9</f>
        <v>45</v>
      </c>
      <c r="D36" s="20">
        <f>0.5*G9+H9</f>
        <v>49.116934513</v>
      </c>
      <c r="E36" s="20">
        <f>D36-C36</f>
        <v>4.1169345129</v>
      </c>
      <c r="L36" s="10" t="s">
        <v>683</v>
      </c>
    </row>
    <row r="37" spans="1:5" x14ac:dyDescent="0.25">
      <c r="A37" s="7" t="s">
        <v>684</v>
      </c>
      <c r="C37" s="20">
        <f>-(0.5*D15+E15)</f>
        <v>50.239175079</v>
      </c>
      <c r="D37" s="20">
        <f>-(0.5*G15+H15)</f>
        <v>48.728473586</v>
      </c>
      <c r="E37" s="20">
        <f>D37-C37</f>
        <v>-1.5107014928</v>
      </c>
    </row>
    <row r="38" spans="1:12" x14ac:dyDescent="0.25">
      <c r="A38" s="7" t="s">
        <v>685</v>
      </c>
      <c r="C38" s="16">
        <f>C36/C37</f>
        <v>0.89571534424</v>
      </c>
      <c r="D38" s="16">
        <f>D36/D37</f>
        <v>1.0079719494</v>
      </c>
      <c r="E38" s="16">
        <f>D38-C38</f>
        <v>0.11225660519</v>
      </c>
      <c r="L38" s="10" t="s">
        <v>686</v>
      </c>
    </row>
    <row r="39" spans="1:5" x14ac:dyDescent="0.25">
      <c r="A39" s="7" t="s">
        <v>687</v>
      </c>
      <c r="C39" s="20">
        <f>E28</f>
        <v>896.73395622</v>
      </c>
      <c r="D39" s="20">
        <f>H28</f>
        <v>829.02448035</v>
      </c>
      <c r="E39" s="20">
        <f>D39-C39</f>
        <v>-67.709475871</v>
      </c>
    </row>
    <row r="40" spans="1:5" x14ac:dyDescent="0.25">
      <c r="A40" s="7" t="s">
        <v>688</v>
      </c>
      <c r="C40" s="16">
        <f>C39/C36</f>
        <v>19.927421249</v>
      </c>
      <c r="D40" s="16">
        <f>D39/D36</f>
        <v>16.87858757</v>
      </c>
      <c r="E40" s="16">
        <f>D40-C40</f>
        <v>-3.0488336793</v>
      </c>
    </row>
    <row r="41" spans="1:5" x14ac:dyDescent="0.25">
      <c r="A41" s="7" t="s">
        <v>689</v>
      </c>
      <c r="C41" s="20">
        <f>J9</f>
        <v>48</v>
      </c>
      <c r="D41" s="20">
        <f>K9</f>
        <v>68.72849396</v>
      </c>
      <c r="E41" s="20">
        <f>D41-C41</f>
        <v>20.72849396</v>
      </c>
    </row>
    <row r="42" spans="1:5" x14ac:dyDescent="0.25">
      <c r="A42" s="7" t="s">
        <v>690</v>
      </c>
      <c r="C42" s="36">
        <f>J31</f>
        <v>0.80567895837</v>
      </c>
      <c r="D42" s="36">
        <f>K31</f>
        <v>1.2751550314</v>
      </c>
      <c r="E42" s="36">
        <f>D42-C42</f>
        <v>0.46947607304</v>
      </c>
    </row>
    <row r="43" spans="1:5" x14ac:dyDescent="0.25">
      <c r="A43" s="7" t="s">
        <v>691</v>
      </c>
      <c r="C43" s="36">
        <f>J30</f>
        <v>18.681957421</v>
      </c>
      <c r="D43" s="36">
        <f>K30</f>
        <v>12.062311169</v>
      </c>
      <c r="E43" s="36">
        <f>D43-C43</f>
        <v>-6.6196462519</v>
      </c>
    </row>
    <row r="44" spans="1:12" x14ac:dyDescent="0.25">
      <c r="A44" s="7" t="s">
        <v>692</v>
      </c>
      <c r="C44" s="20">
        <f>-J15+Assumptions!$C$21+Assumptions!$C$17+Assumptions!$C$14</f>
        <v>139.5770803</v>
      </c>
      <c r="D44" s="20">
        <f>-K15+Assumptions!$C$21+Assumptions!$C$22+Assumptions!$C$14</f>
        <v>118.89814749</v>
      </c>
      <c r="E44" s="20">
        <f>D44-C44</f>
        <v>-20.678932808</v>
      </c>
      <c r="L44" s="10" t="s">
        <v>693</v>
      </c>
    </row>
    <row r="45" spans="1:12" x14ac:dyDescent="0.25">
      <c r="A45" s="24" t="s">
        <v>694</v>
      </c>
      <c r="C45" s="35">
        <f>C41-C44</f>
        <v>-91.577080301</v>
      </c>
      <c r="D45" s="35">
        <f>D41-D44</f>
        <v>-50.169653533</v>
      </c>
      <c r="E45" s="35">
        <f>D45-C45</f>
        <v>41.407426768</v>
      </c>
      <c r="L45" s="10" t="s">
        <v>695</v>
      </c>
    </row>
    <row r="47" spans="1:12" x14ac:dyDescent="0.25">
      <c r="A47" s="3" t="s">
        <v>696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5" t="s">
        <v>10</v>
      </c>
      <c r="C48" s="6" t="s">
        <v>681</v>
      </c>
      <c r="D48" s="6" t="s">
        <v>6</v>
      </c>
      <c r="E48" s="6" t="s">
        <v>21</v>
      </c>
      <c r="L48" s="6" t="s">
        <v>22</v>
      </c>
    </row>
    <row r="49" spans="1:5" x14ac:dyDescent="0.25">
      <c r="A49" s="7" t="s">
        <v>697</v>
      </c>
      <c r="C49" s="20">
        <f>-F23</f>
        <v>141.73395622</v>
      </c>
      <c r="D49" s="20">
        <f>-I23</f>
        <v>74.024480352</v>
      </c>
      <c r="E49" s="20">
        <f>D49-C49</f>
        <v>-67.709475871</v>
      </c>
    </row>
    <row r="50" spans="1:5" x14ac:dyDescent="0.25">
      <c r="A50" s="7" t="s">
        <v>698</v>
      </c>
      <c r="C50" s="12">
        <f>Case_Financials!$F$41</f>
        <v>180</v>
      </c>
      <c r="D50" s="12">
        <f>Case_Financials!$F$41</f>
        <v>180</v>
      </c>
      <c r="E50" s="20">
        <f>D50-C50</f>
        <v>0</v>
      </c>
    </row>
    <row r="51" spans="1:5" x14ac:dyDescent="0.25">
      <c r="A51" s="24" t="s">
        <v>699</v>
      </c>
      <c r="C51" s="25">
        <f>C49+C50</f>
        <v>321.73395622</v>
      </c>
      <c r="D51" s="25">
        <f>D49+D50</f>
        <v>254.02448035</v>
      </c>
      <c r="E51" s="25">
        <f>D51-C51</f>
        <v>-67.709475871</v>
      </c>
    </row>
    <row r="52" spans="1:12" x14ac:dyDescent="0.25">
      <c r="A52" s="7" t="s">
        <v>700</v>
      </c>
      <c r="C52" s="12">
        <f>Case_Financials!$F$41</f>
        <v>180</v>
      </c>
      <c r="D52" s="12">
        <f>Case_Financials!$F$41</f>
        <v>180</v>
      </c>
      <c r="E52" s="20">
        <f>D52-C52</f>
        <v>0</v>
      </c>
      <c r="L52" s="10" t="s">
        <v>701</v>
      </c>
    </row>
    <row r="53" spans="1:5" x14ac:dyDescent="0.25">
      <c r="A53" s="7" t="s">
        <v>702</v>
      </c>
      <c r="C53" s="12">
        <f>Assumptions!$C$85</f>
        <v>20</v>
      </c>
      <c r="D53" s="12">
        <f>Assumptions!$C$85</f>
        <v>20</v>
      </c>
      <c r="E53" s="20">
        <f>D53-C53</f>
        <v>0</v>
      </c>
    </row>
    <row r="54" spans="1:5" x14ac:dyDescent="0.25">
      <c r="A54" s="7" t="s">
        <v>703</v>
      </c>
      <c r="C54" s="12">
        <f>Assumptions!$C$86</f>
        <v>40</v>
      </c>
      <c r="D54" s="12">
        <f>Assumptions!$C$86</f>
        <v>40</v>
      </c>
      <c r="E54" s="20">
        <f>D54-C54</f>
        <v>0</v>
      </c>
    </row>
    <row r="55" spans="1:5" x14ac:dyDescent="0.25">
      <c r="A55" s="7" t="s">
        <v>704</v>
      </c>
      <c r="C55" s="12">
        <f>Assumptions!$C$87</f>
        <v>25</v>
      </c>
      <c r="D55" s="12">
        <f>Assumptions!$C$87</f>
        <v>25</v>
      </c>
      <c r="E55" s="20">
        <f>D55-C55</f>
        <v>0</v>
      </c>
    </row>
    <row r="56" spans="1:12" x14ac:dyDescent="0.25">
      <c r="A56" s="24" t="s">
        <v>705</v>
      </c>
      <c r="C56" s="35">
        <f>C51-SUM(C52:C55)</f>
        <v>56.733956223</v>
      </c>
      <c r="D56" s="35">
        <f>D51-SUM(D52:D55)</f>
        <v>-10.975519648</v>
      </c>
      <c r="E56" s="35">
        <f>D56-C56</f>
        <v>-67.709475871</v>
      </c>
      <c r="L56" s="10" t="s">
        <v>706</v>
      </c>
    </row>
    <row r="57" spans="1:5" x14ac:dyDescent="0.25">
      <c r="A57" s="24" t="s">
        <v>707</v>
      </c>
      <c r="C57" s="25">
        <f>SUM(C52:C56)</f>
        <v>321.73395622</v>
      </c>
      <c r="D57" s="25">
        <f>SUM(D52:D56)</f>
        <v>254.02448035</v>
      </c>
      <c r="E57" s="25">
        <f>D57-C57</f>
        <v>-67.709475871</v>
      </c>
    </row>
    <row r="59" spans="1:12" x14ac:dyDescent="0.25">
      <c r="A59" s="3" t="s">
        <v>708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3:3" x14ac:dyDescent="0.25">
      <c r="C60" s="6" t="s">
        <v>51</v>
      </c>
    </row>
    <row r="61" spans="1:3" x14ac:dyDescent="0.25">
      <c r="A61" s="24" t="s">
        <v>709</v>
      </c>
      <c r="C61" s="25">
        <f>K9-J9</f>
        <v>20.72849396</v>
      </c>
    </row>
    <row r="62" spans="1:3" x14ac:dyDescent="0.25">
      <c r="A62" s="24" t="s">
        <v>710</v>
      </c>
      <c r="C62" s="25">
        <f>I23-F23</f>
        <v>67.709475871</v>
      </c>
    </row>
    <row r="63" spans="1:3" x14ac:dyDescent="0.25">
      <c r="A63" s="24" t="s">
        <v>711</v>
      </c>
      <c r="C63" s="25">
        <f>H28-E28</f>
        <v>-67.709475871</v>
      </c>
    </row>
    <row r="64" spans="1:3" x14ac:dyDescent="0.25">
      <c r="A64" s="7" t="s">
        <v>712</v>
      </c>
      <c r="C64" s="33">
        <f>(H28-C28)/(E28-C28)</f>
        <v>0.52227766955</v>
      </c>
    </row>
    <row r="65" spans="1:3" x14ac:dyDescent="0.25">
      <c r="A65" s="7" t="s">
        <v>713</v>
      </c>
      <c r="C65" s="20">
        <f>Case_Digital!$F$9+(Initiatives!$C$42-Initiatives!$C$29)</f>
        <v>39.25349396</v>
      </c>
    </row>
    <row r="66" spans="1:3" x14ac:dyDescent="0.25">
      <c r="A66" s="7" t="s">
        <v>714</v>
      </c>
      <c r="C66" s="20">
        <f>Case_Digital!$F$18+Case_Digital!$C$27+Initiatives!$D$42-Initiatives!$C$29</f>
        <v>30.525</v>
      </c>
    </row>
    <row r="67" spans="1:3" x14ac:dyDescent="0.25">
      <c r="A67" s="24" t="s">
        <v>715</v>
      </c>
      <c r="C67" s="35">
        <f>C65-C66</f>
        <v>8.7284939601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8" customWidth="1"/>
    <col min="3" max="6" width="12" customWidth="1"/>
    <col min="7" max="7" width="4" customWidth="1"/>
    <col min="8" max="8" width="70" customWidth="1"/>
  </cols>
  <sheetData>
    <row r="1" spans="1:1" x14ac:dyDescent="0.25">
      <c r="A1" s="1" t="s">
        <v>716</v>
      </c>
    </row>
    <row r="2" spans="1:1" x14ac:dyDescent="0.25">
      <c r="A2" s="2" t="s">
        <v>717</v>
      </c>
    </row>
    <row r="4" spans="3:8" x14ac:dyDescent="0.25">
      <c r="C4" s="6" t="s">
        <v>257</v>
      </c>
      <c r="D4" s="6" t="s">
        <v>258</v>
      </c>
      <c r="E4" s="6" t="s">
        <v>259</v>
      </c>
      <c r="F4" s="6" t="s">
        <v>260</v>
      </c>
      <c r="H4" s="6" t="s">
        <v>22</v>
      </c>
    </row>
    <row r="5" spans="1:6" x14ac:dyDescent="0.25">
      <c r="A5" s="7" t="s">
        <v>718</v>
      </c>
      <c r="C5" s="12">
        <f>Case_Financials!$F$54</f>
        <v>570</v>
      </c>
      <c r="D5" s="12">
        <f>Case_Financials!$F$55</f>
        <v>405</v>
      </c>
      <c r="E5" s="12">
        <f>Case_Financials!$F$56</f>
        <v>215</v>
      </c>
      <c r="F5" s="20">
        <f>SUM(C5:E5)</f>
        <v>1190</v>
      </c>
    </row>
    <row r="6" spans="1:6" x14ac:dyDescent="0.25">
      <c r="A6" s="7" t="s">
        <v>329</v>
      </c>
      <c r="C6" s="12">
        <f>Case_Financials!$F$58</f>
        <v>5</v>
      </c>
      <c r="D6" s="12">
        <f>Case_Financials!$F$59</f>
        <v>33</v>
      </c>
      <c r="E6" s="12">
        <f>Case_Financials!$F$60</f>
        <v>-13</v>
      </c>
      <c r="F6" s="20">
        <f>SUM(C6:E6)</f>
        <v>25</v>
      </c>
    </row>
    <row r="7" spans="1:6" x14ac:dyDescent="0.25">
      <c r="A7" s="7" t="s">
        <v>719</v>
      </c>
      <c r="C7" s="33">
        <f>C6/C5</f>
        <v>0.0087719298246</v>
      </c>
      <c r="D7" s="33">
        <f>D6/D5</f>
        <v>0.081481481481</v>
      </c>
      <c r="E7" s="33">
        <f>E6/E5</f>
        <v>-0.060465116279</v>
      </c>
      <c r="F7" s="33">
        <f>F6/F5</f>
        <v>0.021008403361</v>
      </c>
    </row>
    <row r="8" spans="1:8" x14ac:dyDescent="0.25">
      <c r="A8" s="7" t="s">
        <v>720</v>
      </c>
      <c r="C8" s="20">
        <f>Case_Digital!$F$22*Assumptions!$C$7</f>
        <v>15.333333333</v>
      </c>
      <c r="D8" s="20">
        <f>(Case_Digital!$C$22+Case_Digital!$E$22)*(1-Assumptions!$C$7)</f>
        <v>5</v>
      </c>
      <c r="E8" s="20">
        <f>Case_Digital!$D$22*(1-Assumptions!$C$7)</f>
        <v>2.6666666667</v>
      </c>
      <c r="F8" s="20">
        <f>SUM(C8:E8)</f>
        <v>23</v>
      </c>
      <c r="H8" s="10" t="s">
        <v>721</v>
      </c>
    </row>
    <row r="9" spans="1:8" x14ac:dyDescent="0.25">
      <c r="A9" s="7" t="s">
        <v>722</v>
      </c>
      <c r="C9" s="20">
        <f>SUMPRODUCT(Initiatives!$E$27:$E$41,Initiatives!$U$27:$U$41)</f>
        <v>8.3533821771</v>
      </c>
      <c r="D9" s="20">
        <f>SUMPRODUCT(Initiatives!$E$27:$E$41,Initiatives!$V$27:$V$41)</f>
        <v>6.1943257111</v>
      </c>
      <c r="E9" s="20">
        <f>SUMPRODUCT(Initiatives!$E$27:$E$41,Initiatives!$W$27:$W$41)</f>
        <v>6.1807860719</v>
      </c>
      <c r="F9" s="20">
        <f>SUM(C9:E9)</f>
        <v>20.72849396</v>
      </c>
      <c r="H9" s="10" t="s">
        <v>723</v>
      </c>
    </row>
    <row r="10" spans="1:6" x14ac:dyDescent="0.25">
      <c r="A10" s="24" t="s">
        <v>24</v>
      </c>
      <c r="C10" s="35">
        <f>C6+C8+C9</f>
        <v>28.68671551</v>
      </c>
      <c r="D10" s="35">
        <f>D6+D8+D9</f>
        <v>44.194325711</v>
      </c>
      <c r="E10" s="35">
        <f>E6+E8+E9</f>
        <v>-4.1525472614</v>
      </c>
      <c r="F10" s="35">
        <f>SUM(C10:E10)</f>
        <v>68.72849396</v>
      </c>
    </row>
    <row r="11" spans="1:6" x14ac:dyDescent="0.25">
      <c r="A11" s="26" t="s">
        <v>724</v>
      </c>
      <c r="F11" s="28">
        <f>F10-Projection!$K$9</f>
        <v>0</v>
      </c>
    </row>
    <row r="12" spans="1:6" x14ac:dyDescent="0.25">
      <c r="A12" s="7" t="s">
        <v>725</v>
      </c>
      <c r="C12" s="20">
        <f>Case_Financials!$F$54*(1+Assumptions!$C$63*Assumptions!$C$6)</f>
        <v>572.1375</v>
      </c>
      <c r="D12" s="20">
        <f>Case_Financials!$F$55*(1+(Assumptions!$C$64+Assumptions!$C$68)*Assumptions!$C$6)</f>
        <v>409.55625</v>
      </c>
      <c r="E12" s="20">
        <f>Case_Financials!$F$56*(1+Assumptions!$C$65*Assumptions!$C$6)</f>
        <v>216.6125</v>
      </c>
      <c r="F12" s="20">
        <f>SUM(C12:E12)</f>
        <v>1198.30625</v>
      </c>
    </row>
    <row r="13" spans="1:8" x14ac:dyDescent="0.25">
      <c r="A13" s="7" t="s">
        <v>26</v>
      </c>
      <c r="C13" s="15">
        <f>C10/C12</f>
        <v>0.050139547767</v>
      </c>
      <c r="D13" s="15">
        <f>D10/D12</f>
        <v>0.10790782881</v>
      </c>
      <c r="E13" s="15">
        <f>E10/E12</f>
        <v>-0.019170395344</v>
      </c>
      <c r="F13" s="15">
        <f>F10/F12</f>
        <v>0.057354698734</v>
      </c>
      <c r="H13" s="10" t="s">
        <v>726</v>
      </c>
    </row>
    <row r="14" spans="1:6" x14ac:dyDescent="0.25">
      <c r="A14" s="7" t="s">
        <v>727</v>
      </c>
      <c r="C14" s="33">
        <f>C13-C7</f>
        <v>0.041367617942</v>
      </c>
      <c r="D14" s="33">
        <f>D13-D7</f>
        <v>0.026426347324</v>
      </c>
      <c r="E14" s="33">
        <f>E13-E7</f>
        <v>0.041294720935</v>
      </c>
      <c r="F14" s="33">
        <f>F13-F7</f>
        <v>0.036346295373</v>
      </c>
    </row>
    <row r="15" spans="1:8" x14ac:dyDescent="0.25">
      <c r="A15" s="7" t="s">
        <v>728</v>
      </c>
      <c r="C15" s="38">
        <f>Case_Ops!$C$6</f>
        <v>0.72</v>
      </c>
      <c r="D15" s="38">
        <f>Case_Ops!$D$6</f>
        <v>0.81</v>
      </c>
      <c r="E15" s="38">
        <f>Case_Ops!$E$6</f>
        <v>0.67</v>
      </c>
      <c r="H15" s="10" t="s">
        <v>729</v>
      </c>
    </row>
    <row r="16" spans="1:8" x14ac:dyDescent="0.25">
      <c r="A16" s="7" t="s">
        <v>730</v>
      </c>
      <c r="E16" s="15">
        <f>Assumptions!$C$65-E10/(Case_Financials!$F$56*Assumptions!$C$6)</f>
        <v>0.035752231079</v>
      </c>
      <c r="H16" s="10" t="s">
        <v>731</v>
      </c>
    </row>
    <row r="18" spans="1:8" x14ac:dyDescent="0.25">
      <c r="A18" s="3" t="s">
        <v>732</v>
      </c>
      <c r="B18" s="4"/>
      <c r="C18" s="4"/>
      <c r="D18" s="4"/>
      <c r="E18" s="4"/>
      <c r="F18" s="4"/>
      <c r="G18" s="4"/>
      <c r="H18" s="4"/>
    </row>
    <row r="19" spans="1:6" x14ac:dyDescent="0.25">
      <c r="A19" s="7" t="s">
        <v>733</v>
      </c>
      <c r="F19" s="20">
        <f>-E10</f>
        <v>4.1525472614</v>
      </c>
    </row>
    <row r="20" spans="1:8" x14ac:dyDescent="0.25">
      <c r="A20" s="7" t="s">
        <v>734</v>
      </c>
      <c r="F20" s="20">
        <f>-(Case_Digital!$C$27+Assumptions!$C$26+Assumptions!$C$27)*Case_Financials!$F$56/Case_Financials!$F$6</f>
        <v>-2.4390756303</v>
      </c>
      <c r="H20" s="10" t="s">
        <v>735</v>
      </c>
    </row>
    <row r="21" spans="1:8" x14ac:dyDescent="0.25">
      <c r="A21" s="24" t="s">
        <v>736</v>
      </c>
      <c r="F21" s="35">
        <f>F19+F20</f>
        <v>1.7134716312</v>
      </c>
      <c r="H21" s="10" t="s">
        <v>737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 showGridLines="0"/>
  </sheetViews>
  <sheetFormatPr defaultRowHeight="15" outlineLevelRow="0" outlineLevelCol="0" x14ac:dyDescent="55"/>
  <cols>
    <col min="1" max="1" width="56" customWidth="1"/>
    <col min="2" max="2" width="8" customWidth="1"/>
    <col min="3" max="6" width="12" customWidth="1"/>
    <col min="7" max="7" width="4" customWidth="1"/>
    <col min="8" max="8" width="70" customWidth="1"/>
  </cols>
  <sheetData>
    <row r="1" spans="1:1" x14ac:dyDescent="0.25">
      <c r="A1" s="1" t="s">
        <v>738</v>
      </c>
    </row>
    <row r="3" spans="1:8" x14ac:dyDescent="0.25">
      <c r="A3" s="3" t="s">
        <v>739</v>
      </c>
      <c r="B3" s="4"/>
      <c r="C3" s="4"/>
      <c r="D3" s="4"/>
      <c r="E3" s="4"/>
      <c r="F3" s="4"/>
      <c r="G3" s="4"/>
      <c r="H3" s="4"/>
    </row>
    <row r="4" spans="3:8" x14ac:dyDescent="0.25">
      <c r="C4" s="6" t="s">
        <v>740</v>
      </c>
      <c r="D4" s="6" t="s">
        <v>681</v>
      </c>
      <c r="E4" s="6" t="s">
        <v>741</v>
      </c>
      <c r="F4" s="6" t="s">
        <v>742</v>
      </c>
      <c r="H4" s="6" t="s">
        <v>22</v>
      </c>
    </row>
    <row r="5" spans="1:6" x14ac:dyDescent="0.25">
      <c r="A5" s="7" t="s">
        <v>743</v>
      </c>
      <c r="C5" s="30">
        <v>0.5</v>
      </c>
      <c r="D5" s="30">
        <v>0.75</v>
      </c>
      <c r="E5" s="30">
        <v>1</v>
      </c>
      <c r="F5" s="30">
        <v>1.25</v>
      </c>
    </row>
    <row r="6" spans="1:8" x14ac:dyDescent="0.25">
      <c r="A6" s="7" t="s">
        <v>744</v>
      </c>
      <c r="C6" s="13">
        <f>Projection!$J$9+Initiatives!$C$23+Initiatives!$C$22*C5-Initiatives!$D$21</f>
        <v>59.977329307</v>
      </c>
      <c r="D6" s="13">
        <f>Projection!$J$9+Initiatives!$C$23+Initiatives!$C$22*D5-Initiatives!$D$21</f>
        <v>68.72849396</v>
      </c>
      <c r="E6" s="13">
        <f>Projection!$J$9+Initiatives!$C$23+Initiatives!$C$22*E5-Initiatives!$D$21</f>
        <v>77.479658613</v>
      </c>
      <c r="F6" s="13">
        <f>Projection!$J$9+Initiatives!$C$23+Initiatives!$C$22*F5-Initiatives!$D$21</f>
        <v>86.230823267</v>
      </c>
      <c r="H6" s="10" t="s">
        <v>745</v>
      </c>
    </row>
    <row r="7" spans="1:6" x14ac:dyDescent="0.25">
      <c r="A7" s="7" t="s">
        <v>286</v>
      </c>
      <c r="C7" s="33">
        <f>C6/Projection!$J$10</f>
        <v>0.050401117064</v>
      </c>
      <c r="D7" s="33">
        <f>D6/Projection!$J$10</f>
        <v>0.057755036941</v>
      </c>
      <c r="E7" s="33">
        <f>E6/Projection!$J$10</f>
        <v>0.065108956818</v>
      </c>
      <c r="F7" s="33">
        <f>F6/Projection!$J$10</f>
        <v>0.072462876695</v>
      </c>
    </row>
    <row r="8" spans="1:8" x14ac:dyDescent="0.25">
      <c r="A8" s="7" t="s">
        <v>746</v>
      </c>
      <c r="C8" s="36">
        <f>Projection!$K$28/C6</f>
        <v>13.822297357</v>
      </c>
      <c r="D8" s="36">
        <f>Projection!$K$28/D6</f>
        <v>12.062311169</v>
      </c>
      <c r="E8" s="36">
        <f>Projection!$K$28/E6</f>
        <v>10.699898466</v>
      </c>
      <c r="F8" s="36">
        <f>Projection!$K$28/F6</f>
        <v>9.6140156031</v>
      </c>
      <c r="H8" s="10" t="s">
        <v>747</v>
      </c>
    </row>
    <row r="9" spans="1:6" x14ac:dyDescent="0.25">
      <c r="A9" s="7" t="s">
        <v>690</v>
      </c>
      <c r="C9" s="36">
        <f>C6/-Projection!$K$15</f>
        <v>1.112790181</v>
      </c>
      <c r="D9" s="36">
        <f>D6/-Projection!$K$15</f>
        <v>1.2751550314</v>
      </c>
      <c r="E9" s="36">
        <f>E6/-Projection!$K$15</f>
        <v>1.4375198818</v>
      </c>
      <c r="F9" s="36">
        <f>F6/-Projection!$K$15</f>
        <v>1.5998847322</v>
      </c>
    </row>
    <row r="10" spans="1:3" x14ac:dyDescent="0.25">
      <c r="A10" s="7" t="s">
        <v>748</v>
      </c>
      <c r="C10" s="33">
        <f>(-1.5*Projection!$K$15-Projection!$J$9-Initiatives!$C$23+Initiatives!$D$21)/Initiatives!$C$22</f>
        <v>1.0962032701</v>
      </c>
    </row>
    <row r="11" spans="1:8" x14ac:dyDescent="0.25">
      <c r="A11" s="7" t="s">
        <v>749</v>
      </c>
      <c r="C11" s="33">
        <f>(-2*Projection!$K$15-Projection!$J$9-Initiatives!$C$23+Initiatives!$D$21)/Initiatives!$C$22</f>
        <v>1.8660743334</v>
      </c>
      <c r="H11" s="10" t="s">
        <v>750</v>
      </c>
    </row>
    <row r="13" spans="1:8" x14ac:dyDescent="0.25">
      <c r="A13" s="3" t="s">
        <v>751</v>
      </c>
      <c r="B13" s="4"/>
      <c r="C13" s="4"/>
      <c r="D13" s="4"/>
      <c r="E13" s="4"/>
      <c r="F13" s="4"/>
      <c r="G13" s="4"/>
      <c r="H13" s="4"/>
    </row>
    <row r="14" spans="3:8" x14ac:dyDescent="0.25">
      <c r="C14" s="6" t="s">
        <v>752</v>
      </c>
      <c r="D14" s="6" t="s">
        <v>753</v>
      </c>
      <c r="E14" s="6" t="s">
        <v>754</v>
      </c>
      <c r="F14" s="6" t="s">
        <v>755</v>
      </c>
      <c r="H14" s="6" t="s">
        <v>22</v>
      </c>
    </row>
    <row r="15" spans="1:8" x14ac:dyDescent="0.25">
      <c r="A15" s="7" t="s">
        <v>756</v>
      </c>
      <c r="C15" s="30">
        <v>0.01</v>
      </c>
      <c r="D15" s="20">
        <f>-Case_Financials!$F$54*C15</f>
        <v>-5.7</v>
      </c>
      <c r="E15" s="20">
        <f>Projection!$K$9+D15</f>
        <v>63.02849396</v>
      </c>
      <c r="F15" s="36">
        <f>E15/-Projection!$K$15</f>
        <v>1.1694000052</v>
      </c>
      <c r="H15" s="10" t="s">
        <v>757</v>
      </c>
    </row>
    <row r="16" spans="1:8" x14ac:dyDescent="0.25">
      <c r="A16" s="7" t="s">
        <v>758</v>
      </c>
      <c r="C16" s="30">
        <v>0.05</v>
      </c>
      <c r="D16" s="20">
        <f>-Case_Financials!$F$54*C16*Assumptions!$C$89</f>
        <v>-7.125</v>
      </c>
      <c r="E16" s="20">
        <f>Projection!$K$9+D16</f>
        <v>61.60349396</v>
      </c>
      <c r="F16" s="36">
        <f>E16/-Projection!$K$15</f>
        <v>1.1429612487</v>
      </c>
      <c r="H16" s="10" t="s">
        <v>759</v>
      </c>
    </row>
    <row r="17" spans="1:8" x14ac:dyDescent="0.25">
      <c r="A17" s="7" t="s">
        <v>760</v>
      </c>
      <c r="C17" s="30">
        <v>0.1</v>
      </c>
      <c r="D17" s="20">
        <f>-Case_Ops!$F$7*C17</f>
        <v>-12</v>
      </c>
      <c r="E17" s="20">
        <f>Projection!$K$9+D17</f>
        <v>56.72849396</v>
      </c>
      <c r="F17" s="36">
        <f>E17/-Projection!$K$15</f>
        <v>1.052512871</v>
      </c>
      <c r="H17" s="10" t="s">
        <v>761</v>
      </c>
    </row>
    <row r="18" spans="1:8" x14ac:dyDescent="0.25">
      <c r="A18" s="7" t="s">
        <v>762</v>
      </c>
      <c r="C18" s="30">
        <v>1</v>
      </c>
      <c r="D18" s="20">
        <f>-(Initiatives!$E$31+Initiatives!$E$33)*C18</f>
        <v>-0.594375</v>
      </c>
      <c r="E18" s="20">
        <f>Projection!$K$9+D18</f>
        <v>68.13411896</v>
      </c>
      <c r="F18" s="36">
        <f>E18/-Projection!$K$15</f>
        <v>1.2641272869</v>
      </c>
      <c r="H18" s="10" t="s">
        <v>763</v>
      </c>
    </row>
    <row r="19" spans="1:8" x14ac:dyDescent="0.25">
      <c r="A19" s="7" t="s">
        <v>764</v>
      </c>
      <c r="C19" s="30">
        <v>0.5</v>
      </c>
      <c r="D19" s="20">
        <f>-(Initiatives!$C$36+Initiatives!$C$37+Initiatives!$C$40)*(1-C19)</f>
        <v>-4.2064797794</v>
      </c>
      <c r="E19" s="20">
        <f>Projection!$K$9+D19</f>
        <v>64.522014181</v>
      </c>
      <c r="F19" s="36">
        <f>E19/-Projection!$K$15</f>
        <v>1.1971100526</v>
      </c>
      <c r="H19" s="10" t="s">
        <v>765</v>
      </c>
    </row>
    <row r="20" spans="1:8" x14ac:dyDescent="0.25">
      <c r="A20" s="7" t="s">
        <v>766</v>
      </c>
      <c r="C20" s="18" t="s">
        <v>767</v>
      </c>
      <c r="D20" s="12">
        <f>Segments!$F$21</f>
        <v>1.7134716312</v>
      </c>
      <c r="E20" s="20">
        <f>Projection!$K$9+D20</f>
        <v>70.441965591</v>
      </c>
      <c r="F20" s="36">
        <f>E20/-Projection!$K$15</f>
        <v>1.3069459502</v>
      </c>
      <c r="H20" s="10" t="s">
        <v>768</v>
      </c>
    </row>
    <row r="21" spans="1:8" x14ac:dyDescent="0.25">
      <c r="A21" s="7" t="s">
        <v>769</v>
      </c>
      <c r="C21" s="30">
        <v>0.02</v>
      </c>
      <c r="F21" s="36">
        <f>Projection!$K$9/(-Projection!$K$15+C21*(Case_Financials!$F$41+Projection!$I$25))</f>
        <v>1.1653116677</v>
      </c>
      <c r="H21" s="10" t="s">
        <v>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60" customWidth="1"/>
    <col min="3" max="3" width="50" customWidth="1"/>
    <col min="4" max="4" width="34" customWidth="1"/>
    <col min="5" max="5" width="90" customWidth="1"/>
    <col min="6" max="6" width="12" customWidth="1"/>
  </cols>
  <sheetData>
    <row r="1" spans="1:1" x14ac:dyDescent="0.25">
      <c r="A1" s="1" t="s">
        <v>771</v>
      </c>
    </row>
    <row r="2" spans="1:1" x14ac:dyDescent="0.25">
      <c r="A2" s="2" t="s">
        <v>772</v>
      </c>
    </row>
    <row r="4" spans="1:6" x14ac:dyDescent="0.25">
      <c r="A4" s="5" t="s">
        <v>773</v>
      </c>
      <c r="B4" s="5" t="s">
        <v>774</v>
      </c>
      <c r="C4" s="6" t="s">
        <v>775</v>
      </c>
      <c r="D4" s="6" t="s">
        <v>776</v>
      </c>
      <c r="E4" s="6" t="s">
        <v>777</v>
      </c>
      <c r="F4" s="6" t="s">
        <v>778</v>
      </c>
    </row>
    <row r="5" spans="1:6" x14ac:dyDescent="0.25">
      <c r="A5" s="7" t="s">
        <v>779</v>
      </c>
      <c r="B5" s="18" t="s">
        <v>780</v>
      </c>
      <c r="C5" s="18" t="s">
        <v>781</v>
      </c>
      <c r="D5" s="18" t="s">
        <v>782</v>
      </c>
      <c r="E5" s="18" t="s">
        <v>783</v>
      </c>
      <c r="F5" s="18" t="s">
        <v>784</v>
      </c>
    </row>
    <row r="6" spans="1:6" x14ac:dyDescent="0.25">
      <c r="A6" s="7" t="s">
        <v>785</v>
      </c>
      <c r="B6" s="18" t="s">
        <v>786</v>
      </c>
      <c r="C6" s="18" t="s">
        <v>787</v>
      </c>
      <c r="D6" s="18" t="s">
        <v>788</v>
      </c>
      <c r="E6" s="18" t="s">
        <v>789</v>
      </c>
      <c r="F6" s="18" t="s">
        <v>784</v>
      </c>
    </row>
    <row r="7" spans="1:6" x14ac:dyDescent="0.25">
      <c r="A7" s="7" t="s">
        <v>790</v>
      </c>
      <c r="B7" s="18" t="s">
        <v>791</v>
      </c>
      <c r="C7" s="18" t="s">
        <v>792</v>
      </c>
      <c r="D7" s="18" t="s">
        <v>793</v>
      </c>
      <c r="E7" s="18" t="s">
        <v>794</v>
      </c>
      <c r="F7" s="18" t="s">
        <v>784</v>
      </c>
    </row>
    <row r="8" spans="1:6" x14ac:dyDescent="0.25">
      <c r="A8" s="7" t="s">
        <v>795</v>
      </c>
      <c r="B8" s="18" t="s">
        <v>796</v>
      </c>
      <c r="C8" s="18" t="s">
        <v>797</v>
      </c>
      <c r="D8" s="18" t="s">
        <v>798</v>
      </c>
      <c r="E8" s="18" t="s">
        <v>799</v>
      </c>
      <c r="F8" s="18" t="s">
        <v>784</v>
      </c>
    </row>
    <row r="9" spans="1:6" x14ac:dyDescent="0.25">
      <c r="A9" s="7" t="s">
        <v>800</v>
      </c>
      <c r="B9" s="18" t="s">
        <v>801</v>
      </c>
      <c r="C9" s="18" t="s">
        <v>802</v>
      </c>
      <c r="D9" s="18" t="s">
        <v>803</v>
      </c>
      <c r="E9" s="18" t="s">
        <v>804</v>
      </c>
      <c r="F9" s="18" t="s">
        <v>784</v>
      </c>
    </row>
    <row r="10" spans="1:6" x14ac:dyDescent="0.25">
      <c r="A10" s="7" t="s">
        <v>805</v>
      </c>
      <c r="B10" s="18" t="s">
        <v>806</v>
      </c>
      <c r="C10" s="18" t="s">
        <v>807</v>
      </c>
      <c r="D10" s="18" t="s">
        <v>808</v>
      </c>
      <c r="E10" s="18" t="s">
        <v>809</v>
      </c>
      <c r="F10" s="18" t="s">
        <v>784</v>
      </c>
    </row>
    <row r="11" spans="1:6" x14ac:dyDescent="0.25">
      <c r="A11" s="7" t="s">
        <v>810</v>
      </c>
      <c r="B11" s="18" t="s">
        <v>811</v>
      </c>
      <c r="C11" s="18" t="s">
        <v>812</v>
      </c>
      <c r="D11" s="18" t="s">
        <v>813</v>
      </c>
      <c r="E11" s="18" t="s">
        <v>814</v>
      </c>
      <c r="F11" s="18" t="s">
        <v>784</v>
      </c>
    </row>
    <row r="12" spans="1:6" x14ac:dyDescent="0.25">
      <c r="A12" s="7" t="s">
        <v>815</v>
      </c>
      <c r="B12" s="18" t="s">
        <v>816</v>
      </c>
      <c r="C12" s="18" t="s">
        <v>817</v>
      </c>
      <c r="D12" s="18" t="s">
        <v>818</v>
      </c>
      <c r="E12" s="18" t="s">
        <v>819</v>
      </c>
      <c r="F12" s="18" t="s">
        <v>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Case_Financials</vt:lpstr>
      <vt:lpstr>Case_Digital</vt:lpstr>
      <vt:lpstr>Case_Ops</vt:lpstr>
      <vt:lpstr>Diagnosis</vt:lpstr>
      <vt:lpstr>Assumptions</vt:lpstr>
      <vt:lpstr>Initiatives</vt:lpstr>
      <vt:lpstr>Projection</vt:lpstr>
      <vt:lpstr>Segments</vt:lpstr>
      <vt:lpstr>Sensitivity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dc:title/>
  <dc:subject/>
  <dc:description/>
  <cp:keywords/>
  <cp:category/>
  <cp:lastModifiedBy>Team</cp:lastModifiedBy>
  <dcterms:created xsi:type="dcterms:W3CDTF">2026-09-29T22:05:30Z</dcterms:created>
  <dcterms:modified xsi:type="dcterms:W3CDTF">2026-09-29T22:05:30Z</dcterms:modified>
</cp:coreProperties>
</file>