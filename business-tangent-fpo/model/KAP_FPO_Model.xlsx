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_Data" state="visible" r:id="rId4"/>
    <sheet sheetId="2" name="Assumptions" state="visible" r:id="rId5"/>
    <sheet sheetId="3" name="Unit_Econ" state="visible" r:id="rId6"/>
    <sheet sheetId="4" name="Working_Capital" state="visible" r:id="rId7"/>
    <sheet sheetId="5" name="Infra" state="visible" r:id="rId8"/>
    <sheet sheetId="6" name="Federation" state="visible" r:id="rId9"/>
    <sheet sheetId="7" name="Budget" state="visible" r:id="rId10"/>
    <sheet sheetId="8" name="Targets" state="visible" r:id="rId11"/>
    <sheet sheetId="9" name="Checks" state="visible" r:id="rId12"/>
  </sheets>
  <calcPr calcId="171027" fullCalcOnLoad="1"/>
</workbook>
</file>

<file path=xl/sharedStrings.xml><?xml version="1.0" encoding="utf-8"?>
<sst xmlns="http://schemas.openxmlformats.org/spreadsheetml/2006/main" count="359" uniqueCount="317">
  <si>
    <t>Case data (as given in the case)</t>
  </si>
  <si>
    <t>Item</t>
  </si>
  <si>
    <t>Unit</t>
  </si>
  <si>
    <t>Maize</t>
  </si>
  <si>
    <t>Vegetable</t>
  </si>
  <si>
    <t>Source</t>
  </si>
  <si>
    <t>Number of FPOs</t>
  </si>
  <si>
    <t>Case background: 12 FPOs, 7 maize, 5 vegetables</t>
  </si>
  <si>
    <t>Members per typical FPO</t>
  </si>
  <si>
    <t>Case background</t>
  </si>
  <si>
    <t>Women share of members</t>
  </si>
  <si>
    <t>Annual turnover, low end</t>
  </si>
  <si>
    <t>Rs lakh</t>
  </si>
  <si>
    <t>Case background: Rs 20 to 35 lakh</t>
  </si>
  <si>
    <t>Annual turnover, high end</t>
  </si>
  <si>
    <t>Annual turnover, midpoint</t>
  </si>
  <si>
    <t>Share capital per member</t>
  </si>
  <si>
    <t>Rs</t>
  </si>
  <si>
    <t>Share capital per FPO</t>
  </si>
  <si>
    <t>Equals the Rs 10 lakh working capital in the case: the FPO is running on its share capital alone</t>
  </si>
  <si>
    <t>Working capital available</t>
  </si>
  <si>
    <t>Key challenges: financial access</t>
  </si>
  <si>
    <t>Peak-season working capital need</t>
  </si>
  <si>
    <t>Working capital gap per FPO</t>
  </si>
  <si>
    <t>Board size / women directors</t>
  </si>
  <si>
    <t>Case: nine-member board with one woman director (C = board, D = women)</t>
  </si>
  <si>
    <t>Foundation commitment per year</t>
  </si>
  <si>
    <t>USD m</t>
  </si>
  <si>
    <t>Case background: US$1 million a year for 3 to 5 years</t>
  </si>
  <si>
    <t>Assumptions (blue = typed input; every row has a reason and source code, see Targets sheet for the source list)</t>
  </si>
  <si>
    <t>Assumption</t>
  </si>
  <si>
    <t>Reason / source</t>
  </si>
  <si>
    <t>General</t>
  </si>
  <si>
    <t>Exchange rate</t>
  </si>
  <si>
    <t>Rs/USD</t>
  </si>
  <si>
    <t>[S13] Rupee at 94.8 to 95.95 per USD in Aug to Sep 2026; 95 used</t>
  </si>
  <si>
    <t>Programme years planned</t>
  </si>
  <si>
    <t>Case allows 3 to 5; we plan 5 with a go/no-go checkpoint at end of Year 2</t>
  </si>
  <si>
    <t>Year 5 membership and participation (per FPO)</t>
  </si>
  <si>
    <t>New women members added by Year 5</t>
  </si>
  <si>
    <t>Enrolled through JEEViKA self-help groups already active in these villages [S10]; about 30 a year</t>
  </si>
  <si>
    <t>Members who sell produce through the FPO</t>
  </si>
  <si>
    <t>[S9] SRIJAN raised members selling to their FPOs to 39% in 2 years; we allow 5 years plus input credit tied to sales. Vegetables lower because of daily, small lots</t>
  </si>
  <si>
    <t>Crop area per selling member</t>
  </si>
  <si>
    <t>ha</t>
  </si>
  <si>
    <t>[S11] 83% of Bihar holdings are under 1 ha. Maize is the main rabi crop in Kosi; vegetables are grown on small plots</t>
  </si>
  <si>
    <t>Yield per hectare per year</t>
  </si>
  <si>
    <t>t/ha</t>
  </si>
  <si>
    <t>[S11] Bihar maize about 4 t/ha, rabi higher. Vegetables: 15 t/ha a season x 1.5 seasons (our assumption)</t>
  </si>
  <si>
    <t>Share of output that is sold</t>
  </si>
  <si>
    <t>Maize is a cash crop; vegetables lose some to home use and damage [S12]</t>
  </si>
  <si>
    <t>Share of a selling member's output the FPO handles</t>
  </si>
  <si>
    <t>Input credit repaid in produce and assured payment in 7 days pull volume; vegetables lower because of side-selling to local markets</t>
  </si>
  <si>
    <t>Average farm-gate price</t>
  </si>
  <si>
    <t>Rs/t</t>
  </si>
  <si>
    <t>[S14] Maize MSP Rs 2,400/qtl but Bihar has no state maize procurement; Purnia mandi near Rs 2,100 to 2,300. Vegetables: blended Rs 14/kg (our assumption)</t>
  </si>
  <si>
    <t>Members buying inputs through the FPO</t>
  </si>
  <si>
    <t>[S9] SRIJAN reached 88% of shareholders buying inputs; 70% used</t>
  </si>
  <si>
    <t>Input spend per member per year</t>
  </si>
  <si>
    <t>Seed, fertiliser and crop protection for 0.4 ha maize or 0.2 ha vegetables (our assumption)</t>
  </si>
  <si>
    <t>Share of that spend bought from the FPO</t>
  </si>
  <si>
    <t>Fertiliser licence and bulk buying; half, not all</t>
  </si>
  <si>
    <t>Nursery seedling sales</t>
  </si>
  <si>
    <t>Vegetable FPOs run a shade-net nursery (also a flood fallback: seedlings can be replanted fast)</t>
  </si>
  <si>
    <t>Margins the FPO keeps</t>
  </si>
  <si>
    <t>Margin on produce sold</t>
  </si>
  <si>
    <t>Maize: about Rs 65/qtl spread on bulk contracts. Vegetables: grading premium and lower loss [S12: 4.9% to 11.6% vegetable loss]</t>
  </si>
  <si>
    <t>Share of maize held in storage for later sale</t>
  </si>
  <si>
    <t>[S15] Small farmers sell in distress at harvest; larger farmers hold 3 to 4 months</t>
  </si>
  <si>
    <t>Net gain on stored maize after rent, interest and shrinkage</t>
  </si>
  <si>
    <t>Assumes about 9% to 10% price rise in 4 months less about 5% holding cost; e-NWR pledge loan pays for the stock [S7]</t>
  </si>
  <si>
    <t>Margin on inputs</t>
  </si>
  <si>
    <t>Dealer margin on bulk seed and fertiliser (our assumption)</t>
  </si>
  <si>
    <t>Margin on nursery sales</t>
  </si>
  <si>
    <t>Our assumption</t>
  </si>
  <si>
    <t>Drying, cleaning and storage fee</t>
  </si>
  <si>
    <t>Rs 40/qtl charged on FPO volume and on traders' maize</t>
  </si>
  <si>
    <t>Third-party volume as a multiple of own volume</t>
  </si>
  <si>
    <t>Dryer and godown rented out to non-members in spare weeks</t>
  </si>
  <si>
    <t>Cold room fees from non-members</t>
  </si>
  <si>
    <t>Pay-per-crate service, as in the Ecozen/Oorja model in Muzaffarpur [S8]</t>
  </si>
  <si>
    <t>Blended margin today</t>
  </si>
  <si>
    <t>Small trading and input margins at current scale (our assumption)</t>
  </si>
  <si>
    <t>Running cost of an independent FPO (per year)</t>
  </si>
  <si>
    <t>CEO salary</t>
  </si>
  <si>
    <t>Rs 30,000 a month. Govt management cost norm is Rs 18 lakh over 3 years = Rs 6 lakh a year for all costs [S2]</t>
  </si>
  <si>
    <t>Store, procurement and accounts assistant</t>
  </si>
  <si>
    <t>One full-time assistant; vegetables need extra grading help</t>
  </si>
  <si>
    <t>Office, travel, AGM and filing</t>
  </si>
  <si>
    <t>Fee to federation for accounts, compliance and market desk</t>
  </si>
  <si>
    <t>Shared chartered accountant, audit, ROC filings and sales desk; cheaper than each FPO hiring its own</t>
  </si>
  <si>
    <t>Upkeep and insurance of FPO assets</t>
  </si>
  <si>
    <t>Share of asset cost per year; solar cold rooms and crates wear faster</t>
  </si>
  <si>
    <t>Infrastructure per FPO and how it is paid for</t>
  </si>
  <si>
    <t>Asset kit per FPO</t>
  </si>
  <si>
    <t>See Infra sheet. Maize stores in leased PACS godowns, so its kit is small</t>
  </si>
  <si>
    <t>Foundation grant share</t>
  </si>
  <si>
    <t>Government subsidy share</t>
  </si>
  <si>
    <t>[S6] MIDH pays 35% of cost for post-harvest units in general areas</t>
  </si>
  <si>
    <t>FPO own contribution</t>
  </si>
  <si>
    <t>[S5] AIF requires at least 10% borrower contribution</t>
  </si>
  <si>
    <t>Loan interest after AIF subvention</t>
  </si>
  <si>
    <t>[S5] About 9% bank rate less 3% AIF interest subvention</t>
  </si>
  <si>
    <t>Loan tenure</t>
  </si>
  <si>
    <t>years</t>
  </si>
  <si>
    <t>[S5] AIF subvention runs up to 7 years</t>
  </si>
  <si>
    <t>Working capital</t>
  </si>
  <si>
    <t>Peak working capital as share of yearly produce sales</t>
  </si>
  <si>
    <t>Maize is one big rabi buying season with 30 to 60 day buyer payment; vegetables turn over within days</t>
  </si>
  <si>
    <t>Share of input sales given on credit to members</t>
  </si>
  <si>
    <t>Repaid in produce at harvest</t>
  </si>
  <si>
    <t>Matching equity grant per member</t>
  </si>
  <si>
    <t>[S2] Govt matches share capital up to Rs 2,000 per member, cap Rs 15 lakh per FPO</t>
  </si>
  <si>
    <t>Matching equity grant cap per FPO</t>
  </si>
  <si>
    <t>Share of the remaining gap met by the federation fund</t>
  </si>
  <si>
    <t>Rest from banks and NBFCs, made willing by the first-loss deposit and govt credit guarantee [S4]</t>
  </si>
  <si>
    <t>Unit economics of one FPO: today versus Year 5 (Rs lakh a year)</t>
  </si>
  <si>
    <t>Rs lakh a year</t>
  </si>
  <si>
    <t>Maize today</t>
  </si>
  <si>
    <t>Maize Y5</t>
  </si>
  <si>
    <t>Veg today</t>
  </si>
  <si>
    <t>Veg Y5</t>
  </si>
  <si>
    <t>How it is worked out</t>
  </si>
  <si>
    <t>Members</t>
  </si>
  <si>
    <t>Members selling through the FPO</t>
  </si>
  <si>
    <t>Produce handled</t>
  </si>
  <si>
    <t>t</t>
  </si>
  <si>
    <t>Sellers x area x yield x share sold x FPO share</t>
  </si>
  <si>
    <t>Produce sales</t>
  </si>
  <si>
    <t>Input sales</t>
  </si>
  <si>
    <t>Nursery sales</t>
  </si>
  <si>
    <t>Turnover</t>
  </si>
  <si>
    <t>Today = case midpoint</t>
  </si>
  <si>
    <t>Margin on produce</t>
  </si>
  <si>
    <t>Net gain on stored maize</t>
  </si>
  <si>
    <t>Margin on nursery</t>
  </si>
  <si>
    <t>Service fees (drying, storage, cold room)</t>
  </si>
  <si>
    <t>Income the FPO keeps</t>
  </si>
  <si>
    <t>CEO</t>
  </si>
  <si>
    <t>Assistant</t>
  </si>
  <si>
    <t>Office, travel, AGM, filing</t>
  </si>
  <si>
    <t>Federation fee</t>
  </si>
  <si>
    <t>Asset upkeep and insurance</t>
  </si>
  <si>
    <t>Loan repayment (principal and interest)</t>
  </si>
  <si>
    <t>Full running cost without any grant</t>
  </si>
  <si>
    <t>Share of running cost the FPO covers itself</t>
  </si>
  <si>
    <t>Exit test: at least 100% for two years in a row</t>
  </si>
  <si>
    <t>Surplus (deficit)</t>
  </si>
  <si>
    <t>Turnover needed to break even at Year 5 margins</t>
  </si>
  <si>
    <t>Running cost / income per rupee of turnover</t>
  </si>
  <si>
    <t>Year 5 turnover as a multiple of today</t>
  </si>
  <si>
    <t>Working capital in Year 5 (Rs lakh)</t>
  </si>
  <si>
    <t>Maize FPO</t>
  </si>
  <si>
    <t>Veg FPO</t>
  </si>
  <si>
    <t>All 12</t>
  </si>
  <si>
    <t>Basis</t>
  </si>
  <si>
    <t>Peak cash tied up in produce buying</t>
  </si>
  <si>
    <t>Stored maize is financed separately by e-NWR pledge loans [S7]</t>
  </si>
  <si>
    <t>Input credit to members</t>
  </si>
  <si>
    <t>Peak need</t>
  </si>
  <si>
    <t>Members' share capital</t>
  </si>
  <si>
    <t>Govt matching equity grant (claim it)</t>
  </si>
  <si>
    <t>[S2] Free money most FPOs leave unclaimed; needs clean share register</t>
  </si>
  <si>
    <t>Less own share of asset kit</t>
  </si>
  <si>
    <t>Own funds for working capital</t>
  </si>
  <si>
    <t>Gap to finance</t>
  </si>
  <si>
    <t>From federation revolving fund</t>
  </si>
  <si>
    <t>From banks / NBFCs</t>
  </si>
  <si>
    <t>For comparison: gap today, all 12</t>
  </si>
  <si>
    <t>Infrastructure kit per FPO and funding stack (Rs lakh)</t>
  </si>
  <si>
    <t>Kit</t>
  </si>
  <si>
    <t>Drying yard, tarpaulins, moisture meter, scale, sampling kit</t>
  </si>
  <si>
    <t>Meets ethanol and feed-mill moisture specs (14% or lower)</t>
  </si>
  <si>
    <t>Mobile maize dryer share and cleaner/grader</t>
  </si>
  <si>
    <t>One mobile dryer shared by two FPOs</t>
  </si>
  <si>
    <t>PACS godown upgrade to WDRA standard (raised stacking, fumigation, fire kit)</t>
  </si>
  <si>
    <t>[S16] Lease idle PACS godowns (Bihar built 6,158 with 16.9 lakh t) instead of building new</t>
  </si>
  <si>
    <t>Two 5 t solar cold rooms</t>
  </si>
  <si>
    <t>[S8] Ecozen-type units; pay-per-crate service model</t>
  </si>
  <si>
    <t>Pack shed with grading tables on raised plinth</t>
  </si>
  <si>
    <t>Built above the local high-flood level</t>
  </si>
  <si>
    <t>Three village collection points and 2,000 crates</t>
  </si>
  <si>
    <t>Crates cut handling loss</t>
  </si>
  <si>
    <t>Shade-net nursery</t>
  </si>
  <si>
    <t>Seedlings for replanting after floods; sold to members</t>
  </si>
  <si>
    <t>Total kit</t>
  </si>
  <si>
    <t>Who pays</t>
  </si>
  <si>
    <t>Foundation grant</t>
  </si>
  <si>
    <t>Government subsidy (MIDH)</t>
  </si>
  <si>
    <t>FPO own funds</t>
  </si>
  <si>
    <t>AIF bank loan</t>
  </si>
  <si>
    <t>Yearly loan repayment</t>
  </si>
  <si>
    <t>Annuity at the AIF rate</t>
  </si>
  <si>
    <t>Programme totals</t>
  </si>
  <si>
    <t>Foundation grant, all 12 FPOs</t>
  </si>
  <si>
    <t>Total asset value, all 12 FPOs</t>
  </si>
  <si>
    <t>Asset value per rupee of Foundation grant</t>
  </si>
  <si>
    <t>Kosi FPO federation in Year 5: running cost and income once grants end (Rs lakh a year)</t>
  </si>
  <si>
    <t>Value</t>
  </si>
  <si>
    <t>Member FPOs (cohort 1 + cohort 2)</t>
  </si>
  <si>
    <t>Cohort 2 business as a share of cohort 1 in Year 5</t>
  </si>
  <si>
    <t>24 FPOs at 60% of a cohort 1 FPO each (they join later: 6 in Y1, 18 in Y3)</t>
  </si>
  <si>
    <t>Federation CEO</t>
  </si>
  <si>
    <t>Market desk (2 sales managers)</t>
  </si>
  <si>
    <t>Accounts and compliance (CA on retainer + 2 accountants)</t>
  </si>
  <si>
    <t>Office, software, travel, audit</t>
  </si>
  <si>
    <t>Extra servicing cost per FPO beyond 12</t>
  </si>
  <si>
    <t>Rs 0.4 lakh per extra FPO</t>
  </si>
  <si>
    <t>Running cost</t>
  </si>
  <si>
    <t>Fees from member FPOs</t>
  </si>
  <si>
    <t>Rs 1.2 lakh per FPO, already inside each FPO's running cost</t>
  </si>
  <si>
    <t>Share of maize sold through federation contracts</t>
  </si>
  <si>
    <t>Federation commission on that maize</t>
  </si>
  <si>
    <t>Earned from better price on 1,000 t+ lots</t>
  </si>
  <si>
    <t>Maize commission income</t>
  </si>
  <si>
    <t>Bulk input buying margin</t>
  </si>
  <si>
    <t>Federation buys seed and fertiliser in bulk for all FPOs</t>
  </si>
  <si>
    <t>Input buying income</t>
  </si>
  <si>
    <t>Average amount lent out by the revolving fund</t>
  </si>
  <si>
    <t>Fund share of the working capital gap of both cohorts</t>
  </si>
  <si>
    <t>Revolving fund capital (incl. flood window)</t>
  </si>
  <si>
    <t>From Budget sheet</t>
  </si>
  <si>
    <t>Share of fund lent out on average</t>
  </si>
  <si>
    <t>Below 100% on purpose: the flood window is kept liquid</t>
  </si>
  <si>
    <t>Lending rate to FPOs</t>
  </si>
  <si>
    <t>[S4] Below the 14% to 15% NBFC rate for FPO loans</t>
  </si>
  <si>
    <t>Loan loss and running cost of the fund</t>
  </si>
  <si>
    <t>Prudent: 3% loss + 1% admin</t>
  </si>
  <si>
    <t>Net interest income</t>
  </si>
  <si>
    <t>Income</t>
  </si>
  <si>
    <t>Share of running cost covered</t>
  </si>
  <si>
    <t>Indicative budget: US$1 million a year (Rs lakh)</t>
  </si>
  <si>
    <t>Y1 26-27</t>
  </si>
  <si>
    <t>Y2 27-28</t>
  </si>
  <si>
    <t>Y3 28-29</t>
  </si>
  <si>
    <t>Y4 29-30</t>
  </si>
  <si>
    <t>Y5 30-31</t>
  </si>
  <si>
    <t>5-yr total</t>
  </si>
  <si>
    <t>What it pays for and why it changes</t>
  </si>
  <si>
    <t>Intervention 1: Sell together (market access)</t>
  </si>
  <si>
    <t>Market desk, buyer onboarding, quality testing, certification</t>
  </si>
  <si>
    <t>Desk moves onto the federation payroll from Year 4, paid by its commission</t>
  </si>
  <si>
    <t>Women procurement agents (2 per FPO) start-up stipend</t>
  </si>
  <si>
    <t>Paid by FPO commission from Year 3; 24 women earn on volume</t>
  </si>
  <si>
    <t>Intervention 2: Fund the season (finance)</t>
  </si>
  <si>
    <t>Revolving fund capital (owned by the federation)</t>
  </si>
  <si>
    <t>Sized to the gap left after the govt matching equity grant; lent and repaid, never spent</t>
  </si>
  <si>
    <t>First-loss deposit with partner bank</t>
  </si>
  <si>
    <t>Unlocks bank lines; returns to the federation if unused</t>
  </si>
  <si>
    <t>Flood contingency window in the fund</t>
  </si>
  <si>
    <t>Emergency loans after a flood; kept liquid</t>
  </si>
  <si>
    <t>Intervention 3: Store and grade (infrastructure)</t>
  </si>
  <si>
    <t>Asset kits co-funded with AIF and MIDH</t>
  </si>
  <si>
    <t>From Infra sheet: 60% in Year 1, 40% in Year 2</t>
  </si>
  <si>
    <t>Cross-cutting: run it professionally, include women, plan for floods</t>
  </si>
  <si>
    <t>CEO and assistant salary support (tapering)</t>
  </si>
  <si>
    <t>80%, 60%, 40%, 20%, 0% of salary; FPO margin takes over</t>
  </si>
  <si>
    <t>Accounting software, compliance clean-up, board training</t>
  </si>
  <si>
    <t>Front-loaded: one-time clean-up of share registers and filings</t>
  </si>
  <si>
    <t>Women membership drive, leadership fellowship, creche at centres</t>
  </si>
  <si>
    <t>150 new women members per FPO via SHGs; fellows stand for board seats</t>
  </si>
  <si>
    <t>Climate: flood alerts, resilient seed trials, BRFSY claims help</t>
  </si>
  <si>
    <t>Bihar left PMFBY; farmers must be helped to claim state aid [S17]</t>
  </si>
  <si>
    <t>KAP support, federation and learning</t>
  </si>
  <si>
    <t>KAP field team (business, finance, gender, climate leads)</t>
  </si>
  <si>
    <t>Peaks while KAP still has the govt CBBO fee, then shrinks as the federation takes over</t>
  </si>
  <si>
    <t>Federation set-up and staff (tapering)</t>
  </si>
  <si>
    <t>Foundation pays most of the running cost in Years 2 and 3; federation pays itself by Year 5</t>
  </si>
  <si>
    <t>Independent evaluation and audit</t>
  </si>
  <si>
    <t>Baseline, mid-term at the Year 2 checkpoint, endline</t>
  </si>
  <si>
    <t>Second cohort: 6 Kosi FPOs already without govt support from Year 1; 18 more from Year 3 only if the Year 2 checkpoint is met</t>
  </si>
  <si>
    <t>Playbook, kits, salary taper, fund access for cohort 2</t>
  </si>
  <si>
    <t>What is left after cohort 1 is fully funded; see cost per FPO-year below</t>
  </si>
  <si>
    <t>Total</t>
  </si>
  <si>
    <t>Total in USD m</t>
  </si>
  <si>
    <t>Shares of the 5-year total</t>
  </si>
  <si>
    <t>Sell together</t>
  </si>
  <si>
    <t>Fund the season (capital that stays)</t>
  </si>
  <si>
    <t>Store and grade</t>
  </si>
  <si>
    <t>People, women, climate</t>
  </si>
  <si>
    <t>KAP, federation, evaluation</t>
  </si>
  <si>
    <t>Second cohort</t>
  </si>
  <si>
    <t>Value for money</t>
  </si>
  <si>
    <t>Cohort 1 cost per FPO per year</t>
  </si>
  <si>
    <t>Includes capital that stays (fund, assets)</t>
  </si>
  <si>
    <t>Cohort 2 FPO-years supported</t>
  </si>
  <si>
    <t>Cohort 2 cost per FPO per year</t>
  </si>
  <si>
    <t>About 75% of cohort 1: desk, fund and federation already exist. Govt pays a CBBO Rs 5 lakh per FPO a year [S2]</t>
  </si>
  <si>
    <t>Farmer members reached in Year 5 (both cohorts)</t>
  </si>
  <si>
    <t>Cost per farmer member over 5 years</t>
  </si>
  <si>
    <t>Targets at end of Year 5 versus what similar programmes achieved</t>
  </si>
  <si>
    <t>Measure</t>
  </si>
  <si>
    <t>Today</t>
  </si>
  <si>
    <t>Year 5 target</t>
  </si>
  <si>
    <t>Benchmark</t>
  </si>
  <si>
    <t>Benchmark source</t>
  </si>
  <si>
    <t>Members selling through FPO (maize / veg avg)</t>
  </si>
  <si>
    <t>[S9] SRIJAN: 39% after 2 years. Today: our estimate (case: weak engagement)</t>
  </si>
  <si>
    <t>Average turnover per FPO</t>
  </si>
  <si>
    <t>[S3] 1,135 of 8,961 scheme FPOs (12.7%) crossed Rs 1 crore in FY25</t>
  </si>
  <si>
    <t>FPOs covering 100% of running cost</t>
  </si>
  <si>
    <t>[S1] About one third of FPOs viable (ICAR-NIAP), i.e. 4 of 12. Target 6 of 12, and all 12 above 85%</t>
  </si>
  <si>
    <t>Women directors per board</t>
  </si>
  <si>
    <t>[S10] FPOs with female or mixed leadership survive past support 4 to 13 points more often</t>
  </si>
  <si>
    <t>FPOs with a bank or NBFC credit line</t>
  </si>
  <si>
    <t>[S4] Only 30% of FPOs got bank loans; those with credit: 61% profitable without support vs 43%</t>
  </si>
  <si>
    <t>Federation covers its own running cost</t>
  </si>
  <si>
    <t>1 = yes</t>
  </si>
  <si>
    <t>Integrity checks (all should read OK)</t>
  </si>
  <si>
    <t>Budget each year equals Rs 950 lakh (USD 1m at Rs 95)</t>
  </si>
  <si>
    <t>Budget shares add to 100%</t>
  </si>
  <si>
    <t>Infra funding stack adds to kit cost</t>
  </si>
  <si>
    <t>Infra in budget equals Infra sheet</t>
  </si>
  <si>
    <t>Case: share capital equals working capital available</t>
  </si>
  <si>
    <t>Working capital sources add to gap</t>
  </si>
  <si>
    <t>Fund capital covers what is lent out (0 if yes)</t>
  </si>
  <si>
    <t>Federation covers its running cost (0 if 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</si>
</sst>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(#,##0);&quot;-&quot;"/>
    <numFmt numFmtId="165" formatCode="0.0%;(0.0%);&quot;-&quot;"/>
    <numFmt numFmtId="166" formatCode="#,##0.0;(#,##0.0);&quot;-&quot;"/>
    <numFmt numFmtId="167" formatCode="#,##0.00;(#,##0.00);&quot;-&quot;"/>
    <numFmt numFmtId="168" formatCode="0.0&quot;x&quot;;(0.0&quot;x&quot;);&quot;-&quot;"/>
  </numFmts>
  <fonts count="9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b/>
      <sz val="10"/>
      <name val="Arial"/>
    </font>
    <font>
      <sz val="10"/>
      <name val="Arial"/>
    </font>
    <font>
      <color rgb="FF0000FF"/>
      <sz val="10"/>
      <name val="Arial"/>
    </font>
    <font>
      <i/>
      <color rgb="FF595959"/>
      <sz val="10"/>
      <name val="Arial"/>
    </font>
    <font>
      <b/>
      <color rgb="FFFFFFFF"/>
      <sz val="11"/>
      <name val="Arial"/>
    </font>
    <font>
      <color rgb="FF008000"/>
      <sz val="10"/>
      <name val="Arial"/>
    </font>
    <font>
      <b/>
      <color rgb="FF008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2" fillId="0" borderId="0" xfId="0" applyFont="1"/>
    <xf numFmtId="166" fontId="2" fillId="0" borderId="2" xfId="0" applyNumberFormat="1" applyFont="1" applyBorder="1"/>
    <xf numFmtId="166" fontId="3" fillId="0" borderId="0" xfId="0" applyNumberFormat="1" applyFont="1"/>
    <xf numFmtId="0" fontId="6" fillId="2" borderId="0" xfId="0" applyFont="1" applyFill="1"/>
    <xf numFmtId="0" fontId="0" fillId="2" borderId="0" xfId="0" applyFill="1"/>
    <xf numFmtId="166" fontId="4" fillId="3" borderId="0" xfId="0" applyNumberFormat="1" applyFont="1" applyFill="1"/>
    <xf numFmtId="165" fontId="4" fillId="3" borderId="0" xfId="0" applyNumberFormat="1" applyFont="1" applyFill="1"/>
    <xf numFmtId="167" fontId="4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  <xf numFmtId="165" fontId="7" fillId="0" borderId="0" xfId="0" applyNumberFormat="1" applyFont="1"/>
    <xf numFmtId="165" fontId="3" fillId="0" borderId="0" xfId="0" applyNumberFormat="1" applyFont="1"/>
    <xf numFmtId="166" fontId="7" fillId="0" borderId="0" xfId="0" applyNumberFormat="1" applyFont="1"/>
    <xf numFmtId="166" fontId="8" fillId="3" borderId="2" xfId="0" applyNumberFormat="1" applyFont="1" applyFill="1" applyBorder="1"/>
    <xf numFmtId="166" fontId="2" fillId="3" borderId="2" xfId="0" applyNumberFormat="1" applyFont="1" applyFill="1" applyBorder="1"/>
    <xf numFmtId="165" fontId="3" fillId="3" borderId="0" xfId="0" applyNumberFormat="1" applyFont="1" applyFill="1"/>
    <xf numFmtId="168" fontId="3" fillId="0" borderId="0" xfId="0" applyNumberFormat="1" applyFont="1"/>
    <xf numFmtId="166" fontId="3" fillId="3" borderId="0" xfId="0" applyNumberFormat="1" applyFont="1" applyFill="1"/>
    <xf numFmtId="167" fontId="3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showGridLines="0"/>
  </sheetViews>
  <sheetFormatPr defaultRowHeight="15" outlineLevelRow="0" outlineLevelCol="0" x14ac:dyDescent="55"/>
  <cols>
    <col min="1" max="1" width="52" customWidth="1"/>
    <col min="3" max="4" width="12" customWidth="1"/>
    <col min="5" max="5" width="70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4" t="s">
        <v>6</v>
      </c>
      <c r="C3" s="5">
        <v>7</v>
      </c>
      <c r="D3" s="5">
        <v>5</v>
      </c>
      <c r="E3" s="6" t="s">
        <v>7</v>
      </c>
    </row>
    <row r="4" spans="1:5" x14ac:dyDescent="0.25">
      <c r="A4" s="4" t="s">
        <v>8</v>
      </c>
      <c r="C4" s="5">
        <v>500</v>
      </c>
      <c r="D4" s="5">
        <v>500</v>
      </c>
      <c r="E4" s="6" t="s">
        <v>9</v>
      </c>
    </row>
    <row r="5" spans="1:5" x14ac:dyDescent="0.25">
      <c r="A5" s="4" t="s">
        <v>10</v>
      </c>
      <c r="C5" s="7">
        <v>0.2</v>
      </c>
      <c r="D5" s="7">
        <v>0.2</v>
      </c>
      <c r="E5" s="6" t="s">
        <v>9</v>
      </c>
    </row>
    <row r="6" spans="1:5" x14ac:dyDescent="0.25">
      <c r="A6" s="4" t="s">
        <v>11</v>
      </c>
      <c r="B6" s="4" t="s">
        <v>12</v>
      </c>
      <c r="C6" s="8">
        <v>20</v>
      </c>
      <c r="D6" s="8">
        <v>20</v>
      </c>
      <c r="E6" s="6" t="s">
        <v>13</v>
      </c>
    </row>
    <row r="7" spans="1:5" x14ac:dyDescent="0.25">
      <c r="A7" s="4" t="s">
        <v>14</v>
      </c>
      <c r="B7" s="4" t="s">
        <v>12</v>
      </c>
      <c r="C7" s="8">
        <v>35</v>
      </c>
      <c r="D7" s="8">
        <v>35</v>
      </c>
      <c r="E7" s="6" t="s">
        <v>9</v>
      </c>
    </row>
    <row r="8" spans="1:4" x14ac:dyDescent="0.25">
      <c r="A8" s="9" t="s">
        <v>15</v>
      </c>
      <c r="B8" s="4" t="s">
        <v>12</v>
      </c>
      <c r="C8" s="10">
        <f>(C6+C7)/2</f>
        <v>27.5</v>
      </c>
      <c r="D8" s="10">
        <f>(D6+D7)/2</f>
        <v>27.5</v>
      </c>
    </row>
    <row r="9" spans="1:5" x14ac:dyDescent="0.25">
      <c r="A9" s="4" t="s">
        <v>16</v>
      </c>
      <c r="B9" s="4" t="s">
        <v>17</v>
      </c>
      <c r="C9" s="5">
        <v>2000</v>
      </c>
      <c r="D9" s="5">
        <v>2000</v>
      </c>
      <c r="E9" s="6" t="s">
        <v>9</v>
      </c>
    </row>
    <row r="10" spans="1:5" x14ac:dyDescent="0.25">
      <c r="A10" s="4" t="s">
        <v>18</v>
      </c>
      <c r="B10" s="4" t="s">
        <v>12</v>
      </c>
      <c r="C10" s="11">
        <f>C4*C9/100000</f>
        <v>10</v>
      </c>
      <c r="D10" s="11">
        <f>D4*D9/100000</f>
        <v>10</v>
      </c>
      <c r="E10" s="6" t="s">
        <v>19</v>
      </c>
    </row>
    <row r="11" spans="1:5" x14ac:dyDescent="0.25">
      <c r="A11" s="4" t="s">
        <v>20</v>
      </c>
      <c r="B11" s="4" t="s">
        <v>12</v>
      </c>
      <c r="C11" s="8">
        <v>10</v>
      </c>
      <c r="D11" s="8">
        <v>10</v>
      </c>
      <c r="E11" s="6" t="s">
        <v>21</v>
      </c>
    </row>
    <row r="12" spans="1:5" x14ac:dyDescent="0.25">
      <c r="A12" s="4" t="s">
        <v>22</v>
      </c>
      <c r="B12" s="4" t="s">
        <v>12</v>
      </c>
      <c r="C12" s="8">
        <v>25</v>
      </c>
      <c r="D12" s="8">
        <v>25</v>
      </c>
      <c r="E12" s="6" t="s">
        <v>21</v>
      </c>
    </row>
    <row r="13" spans="1:4" x14ac:dyDescent="0.25">
      <c r="A13" s="9" t="s">
        <v>23</v>
      </c>
      <c r="B13" s="4" t="s">
        <v>12</v>
      </c>
      <c r="C13" s="10">
        <f>C12-C11</f>
        <v>15</v>
      </c>
      <c r="D13" s="10">
        <f>D12-D11</f>
        <v>15</v>
      </c>
    </row>
    <row r="14" spans="1:5" x14ac:dyDescent="0.25">
      <c r="A14" s="4" t="s">
        <v>24</v>
      </c>
      <c r="C14" s="5">
        <v>9</v>
      </c>
      <c r="D14" s="5">
        <v>1</v>
      </c>
      <c r="E14" s="6" t="s">
        <v>25</v>
      </c>
    </row>
    <row r="15" spans="1:5" x14ac:dyDescent="0.25">
      <c r="A15" s="4" t="s">
        <v>26</v>
      </c>
      <c r="B15" s="4" t="s">
        <v>27</v>
      </c>
      <c r="C15" s="8">
        <v>1</v>
      </c>
      <c r="E15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 showGridLines="0"/>
  </sheetViews>
  <sheetFormatPr defaultRowHeight="15" outlineLevelRow="0" outlineLevelCol="0" x14ac:dyDescent="55"/>
  <cols>
    <col min="1" max="1" width="52" customWidth="1"/>
    <col min="3" max="4" width="12" customWidth="1"/>
    <col min="5" max="5" width="100" customWidth="1"/>
  </cols>
  <sheetData>
    <row r="1" spans="1:1" x14ac:dyDescent="0.25">
      <c r="A1" s="1" t="s">
        <v>29</v>
      </c>
    </row>
    <row r="2" spans="1:5" x14ac:dyDescent="0.25">
      <c r="A2" s="2" t="s">
        <v>30</v>
      </c>
      <c r="B2" s="2" t="s">
        <v>2</v>
      </c>
      <c r="C2" s="3" t="s">
        <v>3</v>
      </c>
      <c r="D2" s="3" t="s">
        <v>4</v>
      </c>
      <c r="E2" s="3" t="s">
        <v>31</v>
      </c>
    </row>
    <row r="3" spans="1:5" x14ac:dyDescent="0.25">
      <c r="A3" s="12" t="s">
        <v>32</v>
      </c>
      <c r="B3" s="13"/>
      <c r="C3" s="13"/>
      <c r="D3" s="13"/>
      <c r="E3" s="13"/>
    </row>
    <row r="4" spans="1:5" x14ac:dyDescent="0.25">
      <c r="A4" s="4" t="s">
        <v>33</v>
      </c>
      <c r="B4" s="4" t="s">
        <v>34</v>
      </c>
      <c r="C4" s="14">
        <v>95</v>
      </c>
      <c r="E4" s="6" t="s">
        <v>35</v>
      </c>
    </row>
    <row r="5" spans="1:5" x14ac:dyDescent="0.25">
      <c r="A5" s="4" t="s">
        <v>36</v>
      </c>
      <c r="C5" s="5">
        <v>5</v>
      </c>
      <c r="E5" s="6" t="s">
        <v>37</v>
      </c>
    </row>
    <row r="6" spans="1:5" x14ac:dyDescent="0.25">
      <c r="A6" s="12" t="s">
        <v>38</v>
      </c>
      <c r="B6" s="13"/>
      <c r="C6" s="13"/>
      <c r="D6" s="13"/>
      <c r="E6" s="13"/>
    </row>
    <row r="7" spans="1:5" x14ac:dyDescent="0.25">
      <c r="A7" s="4" t="s">
        <v>39</v>
      </c>
      <c r="C7" s="5">
        <v>150</v>
      </c>
      <c r="D7" s="5">
        <v>150</v>
      </c>
      <c r="E7" s="6" t="s">
        <v>40</v>
      </c>
    </row>
    <row r="8" spans="1:5" x14ac:dyDescent="0.25">
      <c r="A8" s="4" t="s">
        <v>41</v>
      </c>
      <c r="C8" s="15">
        <v>0.5</v>
      </c>
      <c r="D8" s="15">
        <v>0.45</v>
      </c>
      <c r="E8" s="6" t="s">
        <v>42</v>
      </c>
    </row>
    <row r="9" spans="1:5" x14ac:dyDescent="0.25">
      <c r="A9" s="4" t="s">
        <v>43</v>
      </c>
      <c r="B9" s="4" t="s">
        <v>44</v>
      </c>
      <c r="C9" s="8">
        <v>0.4</v>
      </c>
      <c r="D9" s="8">
        <v>0.2</v>
      </c>
      <c r="E9" s="6" t="s">
        <v>45</v>
      </c>
    </row>
    <row r="10" spans="1:5" x14ac:dyDescent="0.25">
      <c r="A10" s="4" t="s">
        <v>46</v>
      </c>
      <c r="B10" s="4" t="s">
        <v>47</v>
      </c>
      <c r="C10" s="8">
        <v>4.5</v>
      </c>
      <c r="D10" s="8">
        <v>22.5</v>
      </c>
      <c r="E10" s="6" t="s">
        <v>48</v>
      </c>
    </row>
    <row r="11" spans="1:5" x14ac:dyDescent="0.25">
      <c r="A11" s="4" t="s">
        <v>49</v>
      </c>
      <c r="C11" s="7">
        <v>0.9</v>
      </c>
      <c r="D11" s="7">
        <v>0.85</v>
      </c>
      <c r="E11" s="6" t="s">
        <v>50</v>
      </c>
    </row>
    <row r="12" spans="1:5" x14ac:dyDescent="0.25">
      <c r="A12" s="4" t="s">
        <v>51</v>
      </c>
      <c r="C12" s="7">
        <v>0.65</v>
      </c>
      <c r="D12" s="7">
        <v>0.5</v>
      </c>
      <c r="E12" s="6" t="s">
        <v>52</v>
      </c>
    </row>
    <row r="13" spans="1:5" x14ac:dyDescent="0.25">
      <c r="A13" s="4" t="s">
        <v>53</v>
      </c>
      <c r="B13" s="4" t="s">
        <v>54</v>
      </c>
      <c r="C13" s="5">
        <v>22500</v>
      </c>
      <c r="D13" s="5">
        <v>14000</v>
      </c>
      <c r="E13" s="6" t="s">
        <v>55</v>
      </c>
    </row>
    <row r="14" spans="1:5" x14ac:dyDescent="0.25">
      <c r="A14" s="4" t="s">
        <v>56</v>
      </c>
      <c r="C14" s="7">
        <v>0.7</v>
      </c>
      <c r="D14" s="7">
        <v>0.7</v>
      </c>
      <c r="E14" s="6" t="s">
        <v>57</v>
      </c>
    </row>
    <row r="15" spans="1:5" x14ac:dyDescent="0.25">
      <c r="A15" s="4" t="s">
        <v>58</v>
      </c>
      <c r="B15" s="4" t="s">
        <v>17</v>
      </c>
      <c r="C15" s="5">
        <v>12000</v>
      </c>
      <c r="D15" s="5">
        <v>8000</v>
      </c>
      <c r="E15" s="6" t="s">
        <v>59</v>
      </c>
    </row>
    <row r="16" spans="1:5" x14ac:dyDescent="0.25">
      <c r="A16" s="4" t="s">
        <v>60</v>
      </c>
      <c r="C16" s="7">
        <v>0.5</v>
      </c>
      <c r="D16" s="7">
        <v>0.5</v>
      </c>
      <c r="E16" s="6" t="s">
        <v>61</v>
      </c>
    </row>
    <row r="17" spans="1:5" x14ac:dyDescent="0.25">
      <c r="A17" s="4" t="s">
        <v>62</v>
      </c>
      <c r="B17" s="4" t="s">
        <v>12</v>
      </c>
      <c r="C17" s="8">
        <v>0</v>
      </c>
      <c r="D17" s="8">
        <v>5</v>
      </c>
      <c r="E17" s="6" t="s">
        <v>63</v>
      </c>
    </row>
    <row r="18" spans="1:5" x14ac:dyDescent="0.25">
      <c r="A18" s="12" t="s">
        <v>64</v>
      </c>
      <c r="B18" s="13"/>
      <c r="C18" s="13"/>
      <c r="D18" s="13"/>
      <c r="E18" s="13"/>
    </row>
    <row r="19" spans="1:5" x14ac:dyDescent="0.25">
      <c r="A19" s="4" t="s">
        <v>65</v>
      </c>
      <c r="C19" s="7">
        <v>0.03</v>
      </c>
      <c r="D19" s="7">
        <v>0.07</v>
      </c>
      <c r="E19" s="6" t="s">
        <v>66</v>
      </c>
    </row>
    <row r="20" spans="1:5" x14ac:dyDescent="0.25">
      <c r="A20" s="4" t="s">
        <v>67</v>
      </c>
      <c r="C20" s="7">
        <v>0.4</v>
      </c>
      <c r="D20" s="7">
        <v>0</v>
      </c>
      <c r="E20" s="6" t="s">
        <v>68</v>
      </c>
    </row>
    <row r="21" spans="1:5" x14ac:dyDescent="0.25">
      <c r="A21" s="4" t="s">
        <v>69</v>
      </c>
      <c r="C21" s="7">
        <v>0.04</v>
      </c>
      <c r="D21" s="7">
        <v>0</v>
      </c>
      <c r="E21" s="6" t="s">
        <v>70</v>
      </c>
    </row>
    <row r="22" spans="1:5" x14ac:dyDescent="0.25">
      <c r="A22" s="4" t="s">
        <v>71</v>
      </c>
      <c r="C22" s="7">
        <v>0.08</v>
      </c>
      <c r="D22" s="7">
        <v>0.1</v>
      </c>
      <c r="E22" s="6" t="s">
        <v>72</v>
      </c>
    </row>
    <row r="23" spans="1:5" x14ac:dyDescent="0.25">
      <c r="A23" s="4" t="s">
        <v>73</v>
      </c>
      <c r="C23" s="7">
        <v>0</v>
      </c>
      <c r="D23" s="7">
        <v>0.3</v>
      </c>
      <c r="E23" s="6" t="s">
        <v>74</v>
      </c>
    </row>
    <row r="24" spans="1:5" x14ac:dyDescent="0.25">
      <c r="A24" s="4" t="s">
        <v>75</v>
      </c>
      <c r="B24" s="4" t="s">
        <v>54</v>
      </c>
      <c r="C24" s="5">
        <v>400</v>
      </c>
      <c r="D24" s="5">
        <v>0</v>
      </c>
      <c r="E24" s="6" t="s">
        <v>76</v>
      </c>
    </row>
    <row r="25" spans="1:5" x14ac:dyDescent="0.25">
      <c r="A25" s="4" t="s">
        <v>77</v>
      </c>
      <c r="C25" s="16">
        <v>0.5</v>
      </c>
      <c r="D25" s="16">
        <v>0</v>
      </c>
      <c r="E25" s="6" t="s">
        <v>78</v>
      </c>
    </row>
    <row r="26" spans="1:5" x14ac:dyDescent="0.25">
      <c r="A26" s="4" t="s">
        <v>79</v>
      </c>
      <c r="B26" s="4" t="s">
        <v>12</v>
      </c>
      <c r="C26" s="8">
        <v>0</v>
      </c>
      <c r="D26" s="8">
        <v>0.6</v>
      </c>
      <c r="E26" s="6" t="s">
        <v>80</v>
      </c>
    </row>
    <row r="27" spans="1:5" x14ac:dyDescent="0.25">
      <c r="A27" s="4" t="s">
        <v>81</v>
      </c>
      <c r="C27" s="7">
        <v>0.05</v>
      </c>
      <c r="D27" s="7">
        <v>0.05</v>
      </c>
      <c r="E27" s="6" t="s">
        <v>82</v>
      </c>
    </row>
    <row r="28" spans="1:5" x14ac:dyDescent="0.25">
      <c r="A28" s="12" t="s">
        <v>83</v>
      </c>
      <c r="B28" s="13"/>
      <c r="C28" s="13"/>
      <c r="D28" s="13"/>
      <c r="E28" s="13"/>
    </row>
    <row r="29" spans="1:5" x14ac:dyDescent="0.25">
      <c r="A29" s="4" t="s">
        <v>84</v>
      </c>
      <c r="B29" s="4" t="s">
        <v>12</v>
      </c>
      <c r="C29" s="8">
        <v>3.6</v>
      </c>
      <c r="D29" s="8">
        <v>3.6</v>
      </c>
      <c r="E29" s="6" t="s">
        <v>85</v>
      </c>
    </row>
    <row r="30" spans="1:5" x14ac:dyDescent="0.25">
      <c r="A30" s="4" t="s">
        <v>86</v>
      </c>
      <c r="B30" s="4" t="s">
        <v>12</v>
      </c>
      <c r="C30" s="8">
        <v>1.44</v>
      </c>
      <c r="D30" s="8">
        <v>1.8</v>
      </c>
      <c r="E30" s="6" t="s">
        <v>87</v>
      </c>
    </row>
    <row r="31" spans="1:4" x14ac:dyDescent="0.25">
      <c r="A31" s="4" t="s">
        <v>88</v>
      </c>
      <c r="B31" s="4" t="s">
        <v>12</v>
      </c>
      <c r="C31" s="8">
        <v>0.9</v>
      </c>
      <c r="D31" s="8">
        <v>0.9</v>
      </c>
    </row>
    <row r="32" spans="1:5" x14ac:dyDescent="0.25">
      <c r="A32" s="4" t="s">
        <v>89</v>
      </c>
      <c r="B32" s="4" t="s">
        <v>12</v>
      </c>
      <c r="C32" s="8">
        <v>1.2</v>
      </c>
      <c r="D32" s="8">
        <v>1.2</v>
      </c>
      <c r="E32" s="6" t="s">
        <v>90</v>
      </c>
    </row>
    <row r="33" spans="1:5" x14ac:dyDescent="0.25">
      <c r="A33" s="4" t="s">
        <v>91</v>
      </c>
      <c r="C33" s="7">
        <v>0.03</v>
      </c>
      <c r="D33" s="7">
        <v>0.04</v>
      </c>
      <c r="E33" s="6" t="s">
        <v>92</v>
      </c>
    </row>
    <row r="34" spans="1:5" x14ac:dyDescent="0.25">
      <c r="A34" s="12" t="s">
        <v>93</v>
      </c>
      <c r="B34" s="13"/>
      <c r="C34" s="13"/>
      <c r="D34" s="13"/>
      <c r="E34" s="13"/>
    </row>
    <row r="35" spans="1:5" x14ac:dyDescent="0.25">
      <c r="A35" s="4" t="s">
        <v>94</v>
      </c>
      <c r="B35" s="4" t="s">
        <v>12</v>
      </c>
      <c r="C35" s="14">
        <v>10</v>
      </c>
      <c r="D35" s="14">
        <v>40</v>
      </c>
      <c r="E35" s="6" t="s">
        <v>95</v>
      </c>
    </row>
    <row r="36" spans="1:4" x14ac:dyDescent="0.25">
      <c r="A36" s="4" t="s">
        <v>96</v>
      </c>
      <c r="C36" s="7">
        <v>0.6</v>
      </c>
      <c r="D36" s="7">
        <v>0.4</v>
      </c>
    </row>
    <row r="37" spans="1:5" x14ac:dyDescent="0.25">
      <c r="A37" s="4" t="s">
        <v>97</v>
      </c>
      <c r="C37" s="7">
        <v>0</v>
      </c>
      <c r="D37" s="7">
        <v>0.35</v>
      </c>
      <c r="E37" s="6" t="s">
        <v>98</v>
      </c>
    </row>
    <row r="38" spans="1:5" x14ac:dyDescent="0.25">
      <c r="A38" s="4" t="s">
        <v>99</v>
      </c>
      <c r="C38" s="7">
        <v>0.1</v>
      </c>
      <c r="D38" s="7">
        <v>0.1</v>
      </c>
      <c r="E38" s="6" t="s">
        <v>100</v>
      </c>
    </row>
    <row r="39" spans="1:5" x14ac:dyDescent="0.25">
      <c r="A39" s="4" t="s">
        <v>101</v>
      </c>
      <c r="C39" s="7">
        <v>0.06</v>
      </c>
      <c r="D39" s="7">
        <v>0.06</v>
      </c>
      <c r="E39" s="6" t="s">
        <v>102</v>
      </c>
    </row>
    <row r="40" spans="1:5" x14ac:dyDescent="0.25">
      <c r="A40" s="4" t="s">
        <v>103</v>
      </c>
      <c r="B40" s="4" t="s">
        <v>104</v>
      </c>
      <c r="C40" s="5">
        <v>7</v>
      </c>
      <c r="D40" s="5">
        <v>7</v>
      </c>
      <c r="E40" s="6" t="s">
        <v>105</v>
      </c>
    </row>
    <row r="41" spans="1:5" x14ac:dyDescent="0.25">
      <c r="A41" s="12" t="s">
        <v>106</v>
      </c>
      <c r="B41" s="13"/>
      <c r="C41" s="13"/>
      <c r="D41" s="13"/>
      <c r="E41" s="13"/>
    </row>
    <row r="42" spans="1:5" x14ac:dyDescent="0.25">
      <c r="A42" s="4" t="s">
        <v>107</v>
      </c>
      <c r="C42" s="7">
        <v>0.45</v>
      </c>
      <c r="D42" s="7">
        <v>0.2</v>
      </c>
      <c r="E42" s="6" t="s">
        <v>108</v>
      </c>
    </row>
    <row r="43" spans="1:5" x14ac:dyDescent="0.25">
      <c r="A43" s="4" t="s">
        <v>109</v>
      </c>
      <c r="C43" s="7">
        <v>0.3</v>
      </c>
      <c r="D43" s="7">
        <v>0.3</v>
      </c>
      <c r="E43" s="6" t="s">
        <v>110</v>
      </c>
    </row>
    <row r="44" spans="1:5" x14ac:dyDescent="0.25">
      <c r="A44" s="4" t="s">
        <v>111</v>
      </c>
      <c r="B44" s="4" t="s">
        <v>17</v>
      </c>
      <c r="C44" s="5">
        <v>2000</v>
      </c>
      <c r="D44" s="5">
        <v>2000</v>
      </c>
      <c r="E44" s="6" t="s">
        <v>112</v>
      </c>
    </row>
    <row r="45" spans="1:4" x14ac:dyDescent="0.25">
      <c r="A45" s="4" t="s">
        <v>113</v>
      </c>
      <c r="B45" s="4" t="s">
        <v>12</v>
      </c>
      <c r="C45" s="8">
        <v>15</v>
      </c>
      <c r="D45" s="8">
        <v>15</v>
      </c>
    </row>
    <row r="46" spans="1:5" x14ac:dyDescent="0.25">
      <c r="A46" s="4" t="s">
        <v>114</v>
      </c>
      <c r="C46" s="7">
        <v>0.6</v>
      </c>
      <c r="D46" s="7">
        <v>0.6</v>
      </c>
      <c r="E46" s="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/>
  </sheetViews>
  <sheetFormatPr defaultRowHeight="15" outlineLevelRow="0" outlineLevelCol="0" x14ac:dyDescent="55"/>
  <cols>
    <col min="1" max="1" width="52" customWidth="1"/>
    <col min="3" max="6" width="12" customWidth="1"/>
    <col min="7" max="7" width="70" customWidth="1"/>
  </cols>
  <sheetData>
    <row r="1" spans="1:1" x14ac:dyDescent="0.25">
      <c r="A1" s="1" t="s">
        <v>116</v>
      </c>
    </row>
    <row r="2" spans="1:7" x14ac:dyDescent="0.25">
      <c r="A2" s="2" t="s">
        <v>117</v>
      </c>
      <c r="B2" s="2" t="s">
        <v>2</v>
      </c>
      <c r="C2" s="3" t="s">
        <v>118</v>
      </c>
      <c r="D2" s="3" t="s">
        <v>119</v>
      </c>
      <c r="E2" s="3" t="s">
        <v>120</v>
      </c>
      <c r="F2" s="3" t="s">
        <v>121</v>
      </c>
      <c r="G2" s="3" t="s">
        <v>122</v>
      </c>
    </row>
    <row r="3" spans="1:6" x14ac:dyDescent="0.25">
      <c r="A3" s="4" t="s">
        <v>123</v>
      </c>
      <c r="C3" s="17">
        <f>Case_Data!$C$4</f>
        <v>500</v>
      </c>
      <c r="D3" s="18">
        <f>Case_Data!$C$4+Assumptions!$C$7</f>
        <v>650</v>
      </c>
      <c r="E3" s="17">
        <f>Case_Data!$D$4</f>
        <v>500</v>
      </c>
      <c r="F3" s="18">
        <f>Case_Data!$D$4+Assumptions!$D$7</f>
        <v>650</v>
      </c>
    </row>
    <row r="4" spans="1:6" x14ac:dyDescent="0.25">
      <c r="A4" s="4" t="s">
        <v>10</v>
      </c>
      <c r="C4" s="19">
        <f>Case_Data!$C$5</f>
        <v>0.2</v>
      </c>
      <c r="D4" s="20">
        <f>(Case_Data!$C$4*Case_Data!$C$5+Assumptions!$C$7)/D3</f>
        <v>0.38461538462</v>
      </c>
      <c r="E4" s="19">
        <f>Case_Data!$D$5</f>
        <v>0.2</v>
      </c>
      <c r="F4" s="20">
        <f>(Case_Data!$D$4*Case_Data!$D$5+Assumptions!$D$7)/F3</f>
        <v>0.38461538462</v>
      </c>
    </row>
    <row r="5" spans="1:6" x14ac:dyDescent="0.25">
      <c r="A5" s="4" t="s">
        <v>124</v>
      </c>
      <c r="D5" s="18">
        <f>D3*Assumptions!$C$8</f>
        <v>325</v>
      </c>
      <c r="F5" s="18">
        <f>F3*Assumptions!$D$8</f>
        <v>292.5</v>
      </c>
    </row>
    <row r="6" spans="1:7" x14ac:dyDescent="0.25">
      <c r="A6" s="4" t="s">
        <v>125</v>
      </c>
      <c r="B6" s="4" t="s">
        <v>126</v>
      </c>
      <c r="D6" s="18">
        <f>D5*Assumptions!$C$9*Assumptions!$C$10*Assumptions!$C$11*Assumptions!$C$12</f>
        <v>342.225</v>
      </c>
      <c r="F6" s="18">
        <f>F5*Assumptions!$D$9*Assumptions!$D$10*Assumptions!$D$11*Assumptions!$D$12</f>
        <v>559.40625</v>
      </c>
      <c r="G6" s="6" t="s">
        <v>127</v>
      </c>
    </row>
    <row r="7" spans="1:6" x14ac:dyDescent="0.25">
      <c r="A7" s="4" t="s">
        <v>128</v>
      </c>
      <c r="D7" s="11">
        <f>D6*Assumptions!$C$13/100000</f>
        <v>77.000625</v>
      </c>
      <c r="F7" s="11">
        <f>F6*Assumptions!$D$13/100000</f>
        <v>78.316875</v>
      </c>
    </row>
    <row r="8" spans="1:6" x14ac:dyDescent="0.25">
      <c r="A8" s="4" t="s">
        <v>129</v>
      </c>
      <c r="D8" s="11">
        <f>D3*Assumptions!$C$14*Assumptions!$C$15*Assumptions!$C$16/100000</f>
        <v>27.3</v>
      </c>
      <c r="F8" s="11">
        <f>F3*Assumptions!$D$14*Assumptions!$D$15*Assumptions!$D$16/100000</f>
        <v>18.2</v>
      </c>
    </row>
    <row r="9" spans="1:6" x14ac:dyDescent="0.25">
      <c r="A9" s="4" t="s">
        <v>130</v>
      </c>
      <c r="D9" s="21">
        <f>Assumptions!$C$17</f>
        <v>0</v>
      </c>
      <c r="F9" s="21">
        <f>Assumptions!$D$17</f>
        <v>5</v>
      </c>
    </row>
    <row r="10" spans="1:7" x14ac:dyDescent="0.25">
      <c r="A10" s="9" t="s">
        <v>131</v>
      </c>
      <c r="C10" s="22">
        <f>Case_Data!$C$8</f>
        <v>27.5</v>
      </c>
      <c r="D10" s="23">
        <f>SUM(D7:D9)</f>
        <v>104.300625</v>
      </c>
      <c r="E10" s="22">
        <f>Case_Data!$D$8</f>
        <v>27.5</v>
      </c>
      <c r="F10" s="23">
        <f>SUM(F7:F9)</f>
        <v>101.516875</v>
      </c>
      <c r="G10" s="6" t="s">
        <v>132</v>
      </c>
    </row>
    <row r="12" spans="1:6" x14ac:dyDescent="0.25">
      <c r="A12" s="4" t="s">
        <v>133</v>
      </c>
      <c r="D12" s="11">
        <f>D7*Assumptions!$C$19</f>
        <v>2.31001875</v>
      </c>
      <c r="F12" s="11">
        <f>F7*Assumptions!$D$19</f>
        <v>5.48218125</v>
      </c>
    </row>
    <row r="13" spans="1:6" x14ac:dyDescent="0.25">
      <c r="A13" s="4" t="s">
        <v>134</v>
      </c>
      <c r="D13" s="11">
        <f>D7*Assumptions!$C$20*Assumptions!$C$21</f>
        <v>1.23201</v>
      </c>
      <c r="F13" s="8">
        <v>0</v>
      </c>
    </row>
    <row r="14" spans="1:6" x14ac:dyDescent="0.25">
      <c r="A14" s="4" t="s">
        <v>71</v>
      </c>
      <c r="D14" s="11">
        <f>D8*Assumptions!$C$22</f>
        <v>2.184</v>
      </c>
      <c r="F14" s="11">
        <f>F8*Assumptions!$D$22</f>
        <v>1.82</v>
      </c>
    </row>
    <row r="15" spans="1:6" x14ac:dyDescent="0.25">
      <c r="A15" s="4" t="s">
        <v>135</v>
      </c>
      <c r="D15" s="8">
        <v>0</v>
      </c>
      <c r="F15" s="11">
        <f>F9*Assumptions!$D$23</f>
        <v>1.5</v>
      </c>
    </row>
    <row r="16" spans="1:6" x14ac:dyDescent="0.25">
      <c r="A16" s="4" t="s">
        <v>136</v>
      </c>
      <c r="D16" s="11">
        <f>D6*(1+Assumptions!$C$25)*Assumptions!$C$24/100000</f>
        <v>2.05335</v>
      </c>
      <c r="F16" s="21">
        <f>Assumptions!$D$26</f>
        <v>0.6</v>
      </c>
    </row>
    <row r="17" spans="1:6" x14ac:dyDescent="0.25">
      <c r="A17" s="9" t="s">
        <v>137</v>
      </c>
      <c r="C17" s="10">
        <f>Case_Data!$C$8*Assumptions!$C$27</f>
        <v>1.375</v>
      </c>
      <c r="D17" s="10">
        <f>SUM(D12:D16)</f>
        <v>7.77937875</v>
      </c>
      <c r="E17" s="10">
        <f>Case_Data!$D$8*Assumptions!$D$27</f>
        <v>1.375</v>
      </c>
      <c r="F17" s="10">
        <f>SUM(F12:F16)</f>
        <v>9.40218125</v>
      </c>
    </row>
    <row r="19" spans="1:6" x14ac:dyDescent="0.25">
      <c r="A19" s="4" t="s">
        <v>138</v>
      </c>
      <c r="C19" s="21">
        <f>Assumptions!$C$29</f>
        <v>3.6</v>
      </c>
      <c r="D19" s="21">
        <f>Assumptions!$C$29</f>
        <v>3.6</v>
      </c>
      <c r="E19" s="21">
        <f>Assumptions!$D$29</f>
        <v>3.6</v>
      </c>
      <c r="F19" s="21">
        <f>Assumptions!$D$29</f>
        <v>3.6</v>
      </c>
    </row>
    <row r="20" spans="1:6" x14ac:dyDescent="0.25">
      <c r="A20" s="4" t="s">
        <v>139</v>
      </c>
      <c r="C20" s="21">
        <f>Assumptions!$C$30</f>
        <v>1.44</v>
      </c>
      <c r="D20" s="21">
        <f>Assumptions!$C$30</f>
        <v>1.44</v>
      </c>
      <c r="E20" s="21">
        <f>Assumptions!$D$30</f>
        <v>1.8</v>
      </c>
      <c r="F20" s="21">
        <f>Assumptions!$D$30</f>
        <v>1.8</v>
      </c>
    </row>
    <row r="21" spans="1:6" x14ac:dyDescent="0.25">
      <c r="A21" s="4" t="s">
        <v>140</v>
      </c>
      <c r="C21" s="21">
        <f>Assumptions!$C$31</f>
        <v>0.9</v>
      </c>
      <c r="D21" s="21">
        <f>Assumptions!$C$31</f>
        <v>0.9</v>
      </c>
      <c r="E21" s="21">
        <f>Assumptions!$D$31</f>
        <v>0.9</v>
      </c>
      <c r="F21" s="21">
        <f>Assumptions!$D$31</f>
        <v>0.9</v>
      </c>
    </row>
    <row r="22" spans="1:6" x14ac:dyDescent="0.25">
      <c r="A22" s="4" t="s">
        <v>141</v>
      </c>
      <c r="C22" s="8">
        <v>0</v>
      </c>
      <c r="D22" s="21">
        <f>Assumptions!$C$32</f>
        <v>1.2</v>
      </c>
      <c r="E22" s="8">
        <v>0</v>
      </c>
      <c r="F22" s="21">
        <f>Assumptions!$D$32</f>
        <v>1.2</v>
      </c>
    </row>
    <row r="23" spans="1:6" x14ac:dyDescent="0.25">
      <c r="A23" s="4" t="s">
        <v>142</v>
      </c>
      <c r="C23" s="8">
        <v>0</v>
      </c>
      <c r="D23" s="11">
        <f>Assumptions!$C$35*Assumptions!$C$33</f>
        <v>0.3</v>
      </c>
      <c r="E23" s="8">
        <v>0</v>
      </c>
      <c r="F23" s="11">
        <f>Assumptions!$D$35*Assumptions!$D$33</f>
        <v>1.6</v>
      </c>
    </row>
    <row r="24" spans="1:6" x14ac:dyDescent="0.25">
      <c r="A24" s="4" t="s">
        <v>143</v>
      </c>
      <c r="C24" s="8">
        <v>0</v>
      </c>
      <c r="D24" s="21">
        <f>Infra!$C$17</f>
        <v>0.53740505418</v>
      </c>
      <c r="E24" s="8">
        <v>0</v>
      </c>
      <c r="F24" s="21">
        <f>Infra!$D$17</f>
        <v>1.0748101084</v>
      </c>
    </row>
    <row r="25" spans="1:6" x14ac:dyDescent="0.25">
      <c r="A25" s="9" t="s">
        <v>144</v>
      </c>
      <c r="C25" s="10">
        <f>SUM(C19:C24)</f>
        <v>5.94</v>
      </c>
      <c r="D25" s="10">
        <f>SUM(D19:D24)</f>
        <v>7.9774050542</v>
      </c>
      <c r="E25" s="10">
        <f>SUM(E19:E24)</f>
        <v>6.3</v>
      </c>
      <c r="F25" s="10">
        <f>SUM(F19:F24)</f>
        <v>10.174810108</v>
      </c>
    </row>
    <row r="26" spans="1:7" x14ac:dyDescent="0.25">
      <c r="A26" s="4" t="s">
        <v>145</v>
      </c>
      <c r="C26" s="24">
        <f>C17/C25</f>
        <v>0.23148148148</v>
      </c>
      <c r="D26" s="24">
        <f>D17/D25</f>
        <v>0.97517660156</v>
      </c>
      <c r="E26" s="24">
        <f>E17/E25</f>
        <v>0.21825396825</v>
      </c>
      <c r="F26" s="24">
        <f>F17/F25</f>
        <v>0.92406454272</v>
      </c>
      <c r="G26" s="6" t="s">
        <v>146</v>
      </c>
    </row>
    <row r="27" spans="1:6" x14ac:dyDescent="0.25">
      <c r="A27" s="4" t="s">
        <v>147</v>
      </c>
      <c r="C27" s="11">
        <f>C17-C25</f>
        <v>-4.565</v>
      </c>
      <c r="D27" s="11">
        <f>D17-D25</f>
        <v>-0.19802630418</v>
      </c>
      <c r="E27" s="11">
        <f>E17-E25</f>
        <v>-4.925</v>
      </c>
      <c r="F27" s="11">
        <f>F17-F25</f>
        <v>-0.77262885835</v>
      </c>
    </row>
    <row r="28" spans="1:7" x14ac:dyDescent="0.25">
      <c r="A28" s="4" t="s">
        <v>148</v>
      </c>
      <c r="D28" s="11">
        <f>D25/(D17/D10)</f>
        <v>106.95562715</v>
      </c>
      <c r="F28" s="11">
        <f>F25/(F17/F10)</f>
        <v>109.85907402</v>
      </c>
      <c r="G28" s="6" t="s">
        <v>149</v>
      </c>
    </row>
    <row r="29" spans="1:6" x14ac:dyDescent="0.25">
      <c r="A29" s="4" t="s">
        <v>150</v>
      </c>
      <c r="D29" s="25">
        <f>D10/C10</f>
        <v>3.79275</v>
      </c>
      <c r="F29" s="25">
        <f>F10/E10</f>
        <v>3.6915227273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showGridLines="0"/>
  </sheetViews>
  <sheetFormatPr defaultRowHeight="15" outlineLevelRow="0" outlineLevelCol="0" x14ac:dyDescent="55"/>
  <cols>
    <col min="1" max="1" width="52" customWidth="1"/>
    <col min="3" max="5" width="12" customWidth="1"/>
    <col min="6" max="6" width="70" customWidth="1"/>
  </cols>
  <sheetData>
    <row r="1" spans="1:1" x14ac:dyDescent="0.25">
      <c r="A1" s="1" t="s">
        <v>151</v>
      </c>
    </row>
    <row r="2" spans="1:6" x14ac:dyDescent="0.25">
      <c r="A2" s="2" t="s">
        <v>12</v>
      </c>
      <c r="B2" s="2" t="s">
        <v>2</v>
      </c>
      <c r="C2" s="3" t="s">
        <v>152</v>
      </c>
      <c r="D2" s="3" t="s">
        <v>153</v>
      </c>
      <c r="E2" s="3" t="s">
        <v>154</v>
      </c>
      <c r="F2" s="3" t="s">
        <v>155</v>
      </c>
    </row>
    <row r="3" spans="1:6" x14ac:dyDescent="0.25">
      <c r="A3" s="4" t="s">
        <v>156</v>
      </c>
      <c r="C3" s="11">
        <f>Unit_Econ!$D$7*Assumptions!$C$42</f>
        <v>34.65028125</v>
      </c>
      <c r="D3" s="11">
        <f>Unit_Econ!$F$7*Assumptions!$D$42</f>
        <v>15.663375</v>
      </c>
      <c r="E3" s="11">
        <f>C3*Case_Data!$C$3+D3*Case_Data!$D$3</f>
        <v>320.86884375</v>
      </c>
      <c r="F3" s="6" t="s">
        <v>157</v>
      </c>
    </row>
    <row r="4" spans="1:5" x14ac:dyDescent="0.25">
      <c r="A4" s="4" t="s">
        <v>158</v>
      </c>
      <c r="C4" s="11">
        <f>Unit_Econ!$D$8*Assumptions!$C$43</f>
        <v>8.19</v>
      </c>
      <c r="D4" s="11">
        <f>Unit_Econ!$F$8*Assumptions!$D$43</f>
        <v>5.46</v>
      </c>
      <c r="E4" s="11">
        <f>C4*Case_Data!$C$3+D4*Case_Data!$D$3</f>
        <v>84.63</v>
      </c>
    </row>
    <row r="5" spans="1:5" x14ac:dyDescent="0.25">
      <c r="A5" s="9" t="s">
        <v>159</v>
      </c>
      <c r="C5" s="10">
        <f>C3+C4</f>
        <v>42.84028125</v>
      </c>
      <c r="D5" s="10">
        <f>D3+D4</f>
        <v>21.123375</v>
      </c>
      <c r="E5" s="10">
        <f>E3+E4</f>
        <v>405.49884375</v>
      </c>
    </row>
    <row r="6" spans="1:5" x14ac:dyDescent="0.25">
      <c r="A6" s="4" t="s">
        <v>160</v>
      </c>
      <c r="C6" s="11">
        <f>Unit_Econ!$D$3*Case_Data!$C$9/100000</f>
        <v>13</v>
      </c>
      <c r="D6" s="11">
        <f>Unit_Econ!$F$3*Case_Data!$D$9/100000</f>
        <v>13</v>
      </c>
      <c r="E6" s="11">
        <f>C6*Case_Data!$C$3+D6*Case_Data!$D$3</f>
        <v>156</v>
      </c>
    </row>
    <row r="7" spans="1:6" x14ac:dyDescent="0.25">
      <c r="A7" s="4" t="s">
        <v>161</v>
      </c>
      <c r="C7" s="11">
        <f>MIN(Unit_Econ!$D$3*Assumptions!$C$44/100000,Assumptions!$C$45)</f>
        <v>13</v>
      </c>
      <c r="D7" s="11">
        <f>MIN(Unit_Econ!$F$3*Assumptions!$D$44/100000,Assumptions!$D$45)</f>
        <v>13</v>
      </c>
      <c r="E7" s="11">
        <f>C7*Case_Data!$C$3+D7*Case_Data!$D$3</f>
        <v>156</v>
      </c>
      <c r="F7" s="6" t="s">
        <v>162</v>
      </c>
    </row>
    <row r="8" spans="1:5" x14ac:dyDescent="0.25">
      <c r="A8" s="4" t="s">
        <v>163</v>
      </c>
      <c r="C8" s="11">
        <f>-Infra!$C$15</f>
        <v>-1</v>
      </c>
      <c r="D8" s="11">
        <f>-Infra!$D$15</f>
        <v>-4</v>
      </c>
      <c r="E8" s="11">
        <f>C8*Case_Data!$C$3+D8*Case_Data!$D$3</f>
        <v>-27</v>
      </c>
    </row>
    <row r="9" spans="1:5" x14ac:dyDescent="0.25">
      <c r="A9" s="9" t="s">
        <v>164</v>
      </c>
      <c r="C9" s="10">
        <f>SUM(C6:C8)</f>
        <v>25</v>
      </c>
      <c r="D9" s="10">
        <f>SUM(D6:D8)</f>
        <v>22</v>
      </c>
      <c r="E9" s="10">
        <f>SUM(E6:E8)</f>
        <v>285</v>
      </c>
    </row>
    <row r="10" spans="1:5" x14ac:dyDescent="0.25">
      <c r="A10" s="9" t="s">
        <v>165</v>
      </c>
      <c r="C10" s="10">
        <f>MAX(0,C5-C9)</f>
        <v>17.84028125</v>
      </c>
      <c r="D10" s="10">
        <f>MAX(0,D5-D9)</f>
        <v>0</v>
      </c>
      <c r="E10" s="10">
        <f>MAX(0,E5-E9)</f>
        <v>120.49884375</v>
      </c>
    </row>
    <row r="11" spans="1:5" x14ac:dyDescent="0.25">
      <c r="A11" s="4" t="s">
        <v>166</v>
      </c>
      <c r="C11" s="26">
        <f>C10*Assumptions!$C$46</f>
        <v>10.70416875</v>
      </c>
      <c r="D11" s="26">
        <f>D10*Assumptions!$C$46</f>
        <v>0</v>
      </c>
      <c r="E11" s="26">
        <f>E10*Assumptions!$C$46</f>
        <v>72.29930625</v>
      </c>
    </row>
    <row r="12" spans="1:5" x14ac:dyDescent="0.25">
      <c r="A12" s="4" t="s">
        <v>167</v>
      </c>
      <c r="C12" s="11">
        <f>C10-C11</f>
        <v>7.1361125</v>
      </c>
      <c r="D12" s="11">
        <f>D10-D11</f>
        <v>0</v>
      </c>
      <c r="E12" s="11">
        <f>E10-E11</f>
        <v>48.1995375</v>
      </c>
    </row>
    <row r="13" spans="1:5" x14ac:dyDescent="0.25">
      <c r="A13" s="4" t="s">
        <v>168</v>
      </c>
      <c r="E13" s="11">
        <f>Case_Data!$C$13*Case_Data!$C$3+Case_Data!$D$13*Case_Data!$D$3</f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/>
  </sheetViews>
  <sheetFormatPr defaultRowHeight="15" outlineLevelRow="0" outlineLevelCol="0" x14ac:dyDescent="55"/>
  <cols>
    <col min="1" max="1" width="52" customWidth="1"/>
    <col min="3" max="5" width="12" customWidth="1"/>
    <col min="6" max="6" width="70" customWidth="1"/>
  </cols>
  <sheetData>
    <row r="1" spans="1:1" x14ac:dyDescent="0.25">
      <c r="A1" s="1" t="s">
        <v>169</v>
      </c>
    </row>
    <row r="2" spans="1:6" x14ac:dyDescent="0.25">
      <c r="A2" s="2" t="s">
        <v>12</v>
      </c>
      <c r="B2" s="2" t="s">
        <v>2</v>
      </c>
      <c r="C2" s="3" t="s">
        <v>3</v>
      </c>
      <c r="D2" s="3" t="s">
        <v>4</v>
      </c>
      <c r="F2" s="3" t="s">
        <v>155</v>
      </c>
    </row>
    <row r="3" spans="1:6" x14ac:dyDescent="0.25">
      <c r="A3" s="12" t="s">
        <v>170</v>
      </c>
      <c r="B3" s="13"/>
      <c r="C3" s="13"/>
      <c r="D3" s="13"/>
      <c r="E3" s="13"/>
      <c r="F3" s="13"/>
    </row>
    <row r="4" spans="1:6" x14ac:dyDescent="0.25">
      <c r="A4" s="4" t="s">
        <v>171</v>
      </c>
      <c r="C4" s="8">
        <v>4</v>
      </c>
      <c r="D4" s="8">
        <v>0</v>
      </c>
      <c r="F4" s="6" t="s">
        <v>172</v>
      </c>
    </row>
    <row r="5" spans="1:6" x14ac:dyDescent="0.25">
      <c r="A5" s="4" t="s">
        <v>173</v>
      </c>
      <c r="C5" s="8">
        <v>5</v>
      </c>
      <c r="D5" s="8">
        <v>0</v>
      </c>
      <c r="F5" s="6" t="s">
        <v>174</v>
      </c>
    </row>
    <row r="6" spans="1:6" x14ac:dyDescent="0.25">
      <c r="A6" s="4" t="s">
        <v>175</v>
      </c>
      <c r="C6" s="8">
        <v>1</v>
      </c>
      <c r="D6" s="8">
        <v>0</v>
      </c>
      <c r="F6" s="6" t="s">
        <v>176</v>
      </c>
    </row>
    <row r="7" spans="1:6" x14ac:dyDescent="0.25">
      <c r="A7" s="4" t="s">
        <v>177</v>
      </c>
      <c r="C7" s="8">
        <v>0</v>
      </c>
      <c r="D7" s="8">
        <v>18</v>
      </c>
      <c r="F7" s="6" t="s">
        <v>178</v>
      </c>
    </row>
    <row r="8" spans="1:6" x14ac:dyDescent="0.25">
      <c r="A8" s="4" t="s">
        <v>179</v>
      </c>
      <c r="C8" s="8">
        <v>0</v>
      </c>
      <c r="D8" s="8">
        <v>8</v>
      </c>
      <c r="F8" s="6" t="s">
        <v>180</v>
      </c>
    </row>
    <row r="9" spans="1:6" x14ac:dyDescent="0.25">
      <c r="A9" s="4" t="s">
        <v>181</v>
      </c>
      <c r="C9" s="8">
        <v>0</v>
      </c>
      <c r="D9" s="8">
        <v>8</v>
      </c>
      <c r="F9" s="6" t="s">
        <v>182</v>
      </c>
    </row>
    <row r="10" spans="1:6" x14ac:dyDescent="0.25">
      <c r="A10" s="4" t="s">
        <v>183</v>
      </c>
      <c r="C10" s="8">
        <v>0</v>
      </c>
      <c r="D10" s="8">
        <v>6</v>
      </c>
      <c r="F10" s="6" t="s">
        <v>184</v>
      </c>
    </row>
    <row r="11" spans="1:4" x14ac:dyDescent="0.25">
      <c r="A11" s="9" t="s">
        <v>185</v>
      </c>
      <c r="C11" s="10">
        <f>SUM(C4:C10)</f>
        <v>10</v>
      </c>
      <c r="D11" s="10">
        <f>SUM(D4:D10)</f>
        <v>40</v>
      </c>
    </row>
    <row r="12" spans="1:6" x14ac:dyDescent="0.25">
      <c r="A12" s="12" t="s">
        <v>186</v>
      </c>
      <c r="B12" s="13"/>
      <c r="C12" s="13"/>
      <c r="D12" s="13"/>
      <c r="E12" s="13"/>
      <c r="F12" s="13"/>
    </row>
    <row r="13" spans="1:4" x14ac:dyDescent="0.25">
      <c r="A13" s="4" t="s">
        <v>187</v>
      </c>
      <c r="C13" s="11">
        <f>C11*Assumptions!$C$36</f>
        <v>6</v>
      </c>
      <c r="D13" s="11">
        <f>D11*Assumptions!$D$36</f>
        <v>16</v>
      </c>
    </row>
    <row r="14" spans="1:4" x14ac:dyDescent="0.25">
      <c r="A14" s="4" t="s">
        <v>188</v>
      </c>
      <c r="C14" s="11">
        <f>C11*Assumptions!$C$37</f>
        <v>0</v>
      </c>
      <c r="D14" s="11">
        <f>D11*Assumptions!$D$37</f>
        <v>14</v>
      </c>
    </row>
    <row r="15" spans="1:4" x14ac:dyDescent="0.25">
      <c r="A15" s="4" t="s">
        <v>189</v>
      </c>
      <c r="C15" s="11">
        <f>C11*Assumptions!$C$38</f>
        <v>1</v>
      </c>
      <c r="D15" s="11">
        <f>D11*Assumptions!$D$38</f>
        <v>4</v>
      </c>
    </row>
    <row r="16" spans="1:4" x14ac:dyDescent="0.25">
      <c r="A16" s="4" t="s">
        <v>190</v>
      </c>
      <c r="C16" s="11">
        <f>C11-C13-C14-C15</f>
        <v>3</v>
      </c>
      <c r="D16" s="11">
        <f>D11-D13-D14-D15</f>
        <v>6</v>
      </c>
    </row>
    <row r="17" spans="1:6" x14ac:dyDescent="0.25">
      <c r="A17" s="4" t="s">
        <v>191</v>
      </c>
      <c r="C17" s="11">
        <f>PMT(Assumptions!$C$39,Assumptions!$C$40,-C16)</f>
        <v>0.53740505418</v>
      </c>
      <c r="D17" s="11">
        <f>PMT(Assumptions!$D$39,Assumptions!$D$40,-D16)</f>
        <v>1.0748101084</v>
      </c>
      <c r="F17" s="6" t="s">
        <v>192</v>
      </c>
    </row>
    <row r="18" spans="1:6" x14ac:dyDescent="0.25">
      <c r="A18" s="12" t="s">
        <v>193</v>
      </c>
      <c r="B18" s="13"/>
      <c r="C18" s="13"/>
      <c r="D18" s="13"/>
      <c r="E18" s="13"/>
      <c r="F18" s="13"/>
    </row>
    <row r="19" spans="1:3" x14ac:dyDescent="0.25">
      <c r="A19" s="9" t="s">
        <v>194</v>
      </c>
      <c r="C19" s="10">
        <f>C13*Case_Data!$C$3+D13*Case_Data!$D$3</f>
        <v>122</v>
      </c>
    </row>
    <row r="20" spans="1:3" x14ac:dyDescent="0.25">
      <c r="A20" s="4" t="s">
        <v>195</v>
      </c>
      <c r="C20" s="11">
        <f>C11*Case_Data!$C$3+D11*Case_Data!$D$3</f>
        <v>270</v>
      </c>
    </row>
    <row r="21" spans="1:3" x14ac:dyDescent="0.25">
      <c r="A21" s="4" t="s">
        <v>196</v>
      </c>
      <c r="C21" s="25">
        <f>C20/C19</f>
        <v>2.2131147541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showGridLines="0"/>
  </sheetViews>
  <sheetFormatPr defaultRowHeight="15" outlineLevelRow="0" outlineLevelCol="0" x14ac:dyDescent="55"/>
  <cols>
    <col min="1" max="1" width="52" customWidth="1"/>
    <col min="3" max="3" width="12" customWidth="1"/>
    <col min="4" max="4" width="80" customWidth="1"/>
  </cols>
  <sheetData>
    <row r="1" spans="1:1" x14ac:dyDescent="0.25">
      <c r="A1" s="1" t="s">
        <v>197</v>
      </c>
    </row>
    <row r="2" spans="1:4" x14ac:dyDescent="0.25">
      <c r="A2" s="2" t="s">
        <v>117</v>
      </c>
      <c r="B2" s="2" t="s">
        <v>2</v>
      </c>
      <c r="C2" s="3" t="s">
        <v>198</v>
      </c>
      <c r="D2" s="3" t="s">
        <v>155</v>
      </c>
    </row>
    <row r="3" spans="1:3" x14ac:dyDescent="0.25">
      <c r="A3" s="4" t="s">
        <v>199</v>
      </c>
      <c r="C3" s="5">
        <v>36</v>
      </c>
    </row>
    <row r="4" spans="1:4" x14ac:dyDescent="0.25">
      <c r="A4" s="4" t="s">
        <v>200</v>
      </c>
      <c r="C4" s="7">
        <v>1.2</v>
      </c>
      <c r="D4" s="6" t="s">
        <v>201</v>
      </c>
    </row>
    <row r="5" spans="1:3" x14ac:dyDescent="0.25">
      <c r="A5" s="4" t="s">
        <v>202</v>
      </c>
      <c r="C5" s="8">
        <v>9</v>
      </c>
    </row>
    <row r="6" spans="1:3" x14ac:dyDescent="0.25">
      <c r="A6" s="4" t="s">
        <v>203</v>
      </c>
      <c r="C6" s="8">
        <v>12</v>
      </c>
    </row>
    <row r="7" spans="1:3" x14ac:dyDescent="0.25">
      <c r="A7" s="4" t="s">
        <v>204</v>
      </c>
      <c r="C7" s="8">
        <v>9</v>
      </c>
    </row>
    <row r="8" spans="1:3" x14ac:dyDescent="0.25">
      <c r="A8" s="4" t="s">
        <v>205</v>
      </c>
      <c r="C8" s="8">
        <v>5</v>
      </c>
    </row>
    <row r="9" spans="1:4" x14ac:dyDescent="0.25">
      <c r="A9" s="4" t="s">
        <v>206</v>
      </c>
      <c r="C9" s="11">
        <f>0.4*(C3-12)</f>
        <v>9.6</v>
      </c>
      <c r="D9" s="6" t="s">
        <v>207</v>
      </c>
    </row>
    <row r="10" spans="1:3" x14ac:dyDescent="0.25">
      <c r="A10" s="9" t="s">
        <v>208</v>
      </c>
      <c r="C10" s="10">
        <f>SUM(C5:C9)</f>
        <v>44.6</v>
      </c>
    </row>
    <row r="11" spans="1:4" x14ac:dyDescent="0.25">
      <c r="A11" s="4" t="s">
        <v>209</v>
      </c>
      <c r="C11" s="11">
        <f>Assumptions!$C$32*C3</f>
        <v>43.2</v>
      </c>
      <c r="D11" s="6" t="s">
        <v>210</v>
      </c>
    </row>
    <row r="12" spans="1:3" x14ac:dyDescent="0.25">
      <c r="A12" s="4" t="s">
        <v>211</v>
      </c>
      <c r="C12" s="7">
        <v>0.7</v>
      </c>
    </row>
    <row r="13" spans="1:4" x14ac:dyDescent="0.25">
      <c r="A13" s="4" t="s">
        <v>212</v>
      </c>
      <c r="C13" s="7">
        <v>0.01</v>
      </c>
      <c r="D13" s="6" t="s">
        <v>213</v>
      </c>
    </row>
    <row r="14" spans="1:3" x14ac:dyDescent="0.25">
      <c r="A14" s="4" t="s">
        <v>214</v>
      </c>
      <c r="C14" s="11">
        <f>Unit_Econ!$D$7*Case_Data!$C$3*(1+C4)*C12*C13</f>
        <v>8.300667375</v>
      </c>
    </row>
    <row r="15" spans="1:4" x14ac:dyDescent="0.25">
      <c r="A15" s="4" t="s">
        <v>215</v>
      </c>
      <c r="C15" s="7">
        <v>0.015</v>
      </c>
      <c r="D15" s="6" t="s">
        <v>216</v>
      </c>
    </row>
    <row r="16" spans="1:3" x14ac:dyDescent="0.25">
      <c r="A16" s="4" t="s">
        <v>217</v>
      </c>
      <c r="C16" s="11">
        <f>(Unit_Econ!$D$8*Case_Data!$C$3+Unit_Econ!$F$8*Case_Data!$D$3)*(1+C4)*C15</f>
        <v>9.3093</v>
      </c>
    </row>
    <row r="17" spans="1:4" x14ac:dyDescent="0.25">
      <c r="A17" s="4" t="s">
        <v>218</v>
      </c>
      <c r="C17" s="11">
        <f>Working_Capital!$E$11*(1+C4)</f>
        <v>159.05847375</v>
      </c>
      <c r="D17" s="6" t="s">
        <v>219</v>
      </c>
    </row>
    <row r="18" spans="1:4" x14ac:dyDescent="0.25">
      <c r="A18" s="4" t="s">
        <v>220</v>
      </c>
      <c r="C18" s="11">
        <f>Budget!$H$7+Budget!$H$9</f>
        <v>250</v>
      </c>
      <c r="D18" s="6" t="s">
        <v>221</v>
      </c>
    </row>
    <row r="19" spans="1:4" x14ac:dyDescent="0.25">
      <c r="A19" s="4" t="s">
        <v>222</v>
      </c>
      <c r="C19" s="20">
        <f>C17/C18</f>
        <v>0.636233895</v>
      </c>
      <c r="D19" s="6" t="s">
        <v>223</v>
      </c>
    </row>
    <row r="20" spans="1:4" x14ac:dyDescent="0.25">
      <c r="A20" s="4" t="s">
        <v>224</v>
      </c>
      <c r="C20" s="7">
        <v>0.1</v>
      </c>
      <c r="D20" s="6" t="s">
        <v>225</v>
      </c>
    </row>
    <row r="21" spans="1:4" x14ac:dyDescent="0.25">
      <c r="A21" s="4" t="s">
        <v>226</v>
      </c>
      <c r="C21" s="7">
        <v>0.04</v>
      </c>
      <c r="D21" s="6" t="s">
        <v>227</v>
      </c>
    </row>
    <row r="22" spans="1:3" x14ac:dyDescent="0.25">
      <c r="A22" s="4" t="s">
        <v>228</v>
      </c>
      <c r="C22" s="11">
        <f>C17*(C20-C21)</f>
        <v>9.543508425</v>
      </c>
    </row>
    <row r="23" spans="1:3" x14ac:dyDescent="0.25">
      <c r="A23" s="9" t="s">
        <v>229</v>
      </c>
      <c r="C23" s="10">
        <f>C11+C14+C16+C22</f>
        <v>70.3534758</v>
      </c>
    </row>
    <row r="24" spans="1:3" x14ac:dyDescent="0.25">
      <c r="A24" s="4" t="s">
        <v>230</v>
      </c>
      <c r="C24" s="24">
        <f>C23/C10</f>
        <v>1.5774321928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 showGridLines="0"/>
  </sheetViews>
  <sheetFormatPr defaultRowHeight="15" outlineLevelRow="0" outlineLevelCol="0" x14ac:dyDescent="55"/>
  <cols>
    <col min="1" max="1" width="52" customWidth="1"/>
    <col min="3" max="8" width="12" customWidth="1"/>
    <col min="9" max="9" width="70" customWidth="1"/>
  </cols>
  <sheetData>
    <row r="1" spans="1:1" x14ac:dyDescent="0.25">
      <c r="A1" s="1" t="s">
        <v>231</v>
      </c>
    </row>
    <row r="2" spans="1:9" x14ac:dyDescent="0.25">
      <c r="A2" s="2" t="s">
        <v>12</v>
      </c>
      <c r="C2" s="3" t="s">
        <v>232</v>
      </c>
      <c r="D2" s="3" t="s">
        <v>233</v>
      </c>
      <c r="E2" s="3" t="s">
        <v>234</v>
      </c>
      <c r="F2" s="3" t="s">
        <v>235</v>
      </c>
      <c r="G2" s="3" t="s">
        <v>236</v>
      </c>
      <c r="H2" s="3" t="s">
        <v>237</v>
      </c>
      <c r="I2" s="3" t="s">
        <v>238</v>
      </c>
    </row>
    <row r="3" spans="1:9" x14ac:dyDescent="0.25">
      <c r="A3" s="12" t="s">
        <v>239</v>
      </c>
      <c r="B3" s="13"/>
      <c r="C3" s="13"/>
      <c r="D3" s="13"/>
      <c r="E3" s="13"/>
      <c r="F3" s="13"/>
      <c r="G3" s="13"/>
      <c r="H3" s="13"/>
      <c r="I3" s="13"/>
    </row>
    <row r="4" spans="1:9" x14ac:dyDescent="0.25">
      <c r="A4" s="4" t="s">
        <v>240</v>
      </c>
      <c r="C4" s="8">
        <v>120</v>
      </c>
      <c r="D4" s="8">
        <v>120</v>
      </c>
      <c r="E4" s="8">
        <v>100</v>
      </c>
      <c r="F4" s="8">
        <v>70</v>
      </c>
      <c r="G4" s="8">
        <v>40</v>
      </c>
      <c r="H4" s="11">
        <f>SUM(C4:G4)</f>
        <v>450</v>
      </c>
      <c r="I4" s="6" t="s">
        <v>241</v>
      </c>
    </row>
    <row r="5" spans="1:9" x14ac:dyDescent="0.25">
      <c r="A5" s="4" t="s">
        <v>242</v>
      </c>
      <c r="C5" s="8">
        <v>12</v>
      </c>
      <c r="D5" s="8">
        <v>12</v>
      </c>
      <c r="E5" s="8">
        <v>8</v>
      </c>
      <c r="F5" s="8">
        <v>4</v>
      </c>
      <c r="G5" s="8">
        <v>0</v>
      </c>
      <c r="H5" s="11">
        <f>SUM(C5:G5)</f>
        <v>36</v>
      </c>
      <c r="I5" s="6" t="s">
        <v>243</v>
      </c>
    </row>
    <row r="6" spans="1:9" x14ac:dyDescent="0.25">
      <c r="A6" s="12" t="s">
        <v>244</v>
      </c>
      <c r="B6" s="13"/>
      <c r="C6" s="13"/>
      <c r="D6" s="13"/>
      <c r="E6" s="13"/>
      <c r="F6" s="13"/>
      <c r="G6" s="13"/>
      <c r="H6" s="13"/>
      <c r="I6" s="13"/>
    </row>
    <row r="7" spans="1:9" x14ac:dyDescent="0.25">
      <c r="A7" s="4" t="s">
        <v>245</v>
      </c>
      <c r="C7" s="8">
        <v>100</v>
      </c>
      <c r="D7" s="8">
        <v>50</v>
      </c>
      <c r="E7" s="8">
        <v>50</v>
      </c>
      <c r="F7" s="8">
        <v>0</v>
      </c>
      <c r="G7" s="8">
        <v>0</v>
      </c>
      <c r="H7" s="11">
        <f>SUM(C7:G7)</f>
        <v>200</v>
      </c>
      <c r="I7" s="6" t="s">
        <v>246</v>
      </c>
    </row>
    <row r="8" spans="1:9" x14ac:dyDescent="0.25">
      <c r="A8" s="4" t="s">
        <v>247</v>
      </c>
      <c r="C8" s="8">
        <v>50</v>
      </c>
      <c r="D8" s="8">
        <v>0</v>
      </c>
      <c r="E8" s="8">
        <v>0</v>
      </c>
      <c r="F8" s="8">
        <v>0</v>
      </c>
      <c r="G8" s="8">
        <v>0</v>
      </c>
      <c r="H8" s="11">
        <f>SUM(C8:G8)</f>
        <v>50</v>
      </c>
      <c r="I8" s="6" t="s">
        <v>248</v>
      </c>
    </row>
    <row r="9" spans="1:9" x14ac:dyDescent="0.25">
      <c r="A9" s="4" t="s">
        <v>249</v>
      </c>
      <c r="C9" s="8">
        <v>0</v>
      </c>
      <c r="D9" s="8">
        <v>50</v>
      </c>
      <c r="E9" s="8">
        <v>0</v>
      </c>
      <c r="F9" s="8">
        <v>0</v>
      </c>
      <c r="G9" s="8">
        <v>0</v>
      </c>
      <c r="H9" s="11">
        <f>SUM(C9:G9)</f>
        <v>50</v>
      </c>
      <c r="I9" s="6" t="s">
        <v>250</v>
      </c>
    </row>
    <row r="10" spans="1:9" x14ac:dyDescent="0.25">
      <c r="A10" s="12" t="s">
        <v>251</v>
      </c>
      <c r="B10" s="13"/>
      <c r="C10" s="13"/>
      <c r="D10" s="13"/>
      <c r="E10" s="13"/>
      <c r="F10" s="13"/>
      <c r="G10" s="13"/>
      <c r="H10" s="13"/>
      <c r="I10" s="13"/>
    </row>
    <row r="11" spans="1:9" x14ac:dyDescent="0.25">
      <c r="A11" s="4" t="s">
        <v>252</v>
      </c>
      <c r="C11" s="11">
        <f>Infra!$C$19*0.6</f>
        <v>73.2</v>
      </c>
      <c r="D11" s="11">
        <f>Infra!$C$19*0.4</f>
        <v>48.8</v>
      </c>
      <c r="E11" s="8">
        <v>0</v>
      </c>
      <c r="F11" s="8">
        <v>0</v>
      </c>
      <c r="G11" s="8">
        <v>0</v>
      </c>
      <c r="H11" s="11">
        <f>SUM(C11:G11)</f>
        <v>122</v>
      </c>
      <c r="I11" s="6" t="s">
        <v>253</v>
      </c>
    </row>
    <row r="12" spans="1:9" x14ac:dyDescent="0.25">
      <c r="A12" s="12" t="s">
        <v>254</v>
      </c>
      <c r="B12" s="13"/>
      <c r="C12" s="13"/>
      <c r="D12" s="13"/>
      <c r="E12" s="13"/>
      <c r="F12" s="13"/>
      <c r="G12" s="13"/>
      <c r="H12" s="13"/>
      <c r="I12" s="13"/>
    </row>
    <row r="13" spans="1:9" x14ac:dyDescent="0.25">
      <c r="A13" s="4" t="s">
        <v>255</v>
      </c>
      <c r="C13" s="11">
        <f>12*5.4*0.8</f>
        <v>51.84</v>
      </c>
      <c r="D13" s="11">
        <f>12*5.4*0.6</f>
        <v>38.88</v>
      </c>
      <c r="E13" s="11">
        <f>12*5.4*0.4</f>
        <v>25.92</v>
      </c>
      <c r="F13" s="11">
        <f>12*5.4*0.2</f>
        <v>12.96</v>
      </c>
      <c r="G13" s="8">
        <v>0</v>
      </c>
      <c r="H13" s="11">
        <f>SUM(C13:G13)</f>
        <v>129.6</v>
      </c>
      <c r="I13" s="6" t="s">
        <v>256</v>
      </c>
    </row>
    <row r="14" spans="1:9" x14ac:dyDescent="0.25">
      <c r="A14" s="4" t="s">
        <v>257</v>
      </c>
      <c r="C14" s="8">
        <v>30</v>
      </c>
      <c r="D14" s="8">
        <v>25</v>
      </c>
      <c r="E14" s="8">
        <v>15</v>
      </c>
      <c r="F14" s="8">
        <v>10</v>
      </c>
      <c r="G14" s="8">
        <v>5</v>
      </c>
      <c r="H14" s="11">
        <f>SUM(C14:G14)</f>
        <v>85</v>
      </c>
      <c r="I14" s="6" t="s">
        <v>258</v>
      </c>
    </row>
    <row r="15" spans="1:9" x14ac:dyDescent="0.25">
      <c r="A15" s="4" t="s">
        <v>259</v>
      </c>
      <c r="C15" s="8">
        <v>50</v>
      </c>
      <c r="D15" s="8">
        <v>50</v>
      </c>
      <c r="E15" s="8">
        <v>45</v>
      </c>
      <c r="F15" s="8">
        <v>40</v>
      </c>
      <c r="G15" s="8">
        <v>30</v>
      </c>
      <c r="H15" s="11">
        <f>SUM(C15:G15)</f>
        <v>215</v>
      </c>
      <c r="I15" s="6" t="s">
        <v>260</v>
      </c>
    </row>
    <row r="16" spans="1:9" x14ac:dyDescent="0.25">
      <c r="A16" s="4" t="s">
        <v>261</v>
      </c>
      <c r="C16" s="8">
        <v>40</v>
      </c>
      <c r="D16" s="8">
        <v>40</v>
      </c>
      <c r="E16" s="8">
        <v>35</v>
      </c>
      <c r="F16" s="8">
        <v>30</v>
      </c>
      <c r="G16" s="8">
        <v>25</v>
      </c>
      <c r="H16" s="11">
        <f>SUM(C16:G16)</f>
        <v>170</v>
      </c>
      <c r="I16" s="6" t="s">
        <v>262</v>
      </c>
    </row>
    <row r="17" spans="1:9" x14ac:dyDescent="0.25">
      <c r="A17" s="12" t="s">
        <v>263</v>
      </c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4" t="s">
        <v>264</v>
      </c>
      <c r="C18" s="8">
        <v>150</v>
      </c>
      <c r="D18" s="8">
        <v>160</v>
      </c>
      <c r="E18" s="8">
        <v>130</v>
      </c>
      <c r="F18" s="8">
        <v>90</v>
      </c>
      <c r="G18" s="8">
        <v>50</v>
      </c>
      <c r="H18" s="11">
        <f>SUM(C18:G18)</f>
        <v>580</v>
      </c>
      <c r="I18" s="6" t="s">
        <v>265</v>
      </c>
    </row>
    <row r="19" spans="1:9" x14ac:dyDescent="0.25">
      <c r="A19" s="4" t="s">
        <v>266</v>
      </c>
      <c r="C19" s="8">
        <v>25</v>
      </c>
      <c r="D19" s="8">
        <v>40</v>
      </c>
      <c r="E19" s="8">
        <v>35</v>
      </c>
      <c r="F19" s="8">
        <v>20</v>
      </c>
      <c r="G19" s="8">
        <v>0</v>
      </c>
      <c r="H19" s="11">
        <f>SUM(C19:G19)</f>
        <v>120</v>
      </c>
      <c r="I19" s="6" t="s">
        <v>267</v>
      </c>
    </row>
    <row r="20" spans="1:9" x14ac:dyDescent="0.25">
      <c r="A20" s="4" t="s">
        <v>268</v>
      </c>
      <c r="C20" s="8">
        <v>20</v>
      </c>
      <c r="D20" s="8">
        <v>15</v>
      </c>
      <c r="E20" s="8">
        <v>25</v>
      </c>
      <c r="F20" s="8">
        <v>15</v>
      </c>
      <c r="G20" s="8">
        <v>25</v>
      </c>
      <c r="H20" s="11">
        <f>SUM(C20:G20)</f>
        <v>100</v>
      </c>
      <c r="I20" s="6" t="s">
        <v>269</v>
      </c>
    </row>
    <row r="21" spans="1:9" x14ac:dyDescent="0.25">
      <c r="A21" s="12" t="s">
        <v>270</v>
      </c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4" t="s">
        <v>271</v>
      </c>
      <c r="C22" s="11">
        <f>950-SUM(C4:C20)</f>
        <v>227.96</v>
      </c>
      <c r="D22" s="11">
        <f>950-SUM(D4:D20)</f>
        <v>300.32</v>
      </c>
      <c r="E22" s="11">
        <f>950-SUM(E4:E20)</f>
        <v>481.08</v>
      </c>
      <c r="F22" s="11">
        <f>950-SUM(F4:F20)</f>
        <v>658.04</v>
      </c>
      <c r="G22" s="11">
        <f>950-SUM(G4:G20)</f>
        <v>775</v>
      </c>
      <c r="H22" s="11">
        <f>SUM(C22:G22)</f>
        <v>2442.4</v>
      </c>
      <c r="I22" s="6" t="s">
        <v>272</v>
      </c>
    </row>
    <row r="23" spans="1:8" x14ac:dyDescent="0.25">
      <c r="A23" s="9" t="s">
        <v>273</v>
      </c>
      <c r="C23" s="23">
        <f>SUM(C4:C22)</f>
        <v>950</v>
      </c>
      <c r="D23" s="23">
        <f>SUM(D4:D22)</f>
        <v>950</v>
      </c>
      <c r="E23" s="23">
        <f>SUM(E4:E22)</f>
        <v>950</v>
      </c>
      <c r="F23" s="23">
        <f>SUM(F4:F22)</f>
        <v>950</v>
      </c>
      <c r="G23" s="23">
        <f>SUM(G4:G22)</f>
        <v>950</v>
      </c>
      <c r="H23" s="23">
        <f>SUM(H4:H22)</f>
        <v>4750</v>
      </c>
    </row>
    <row r="24" spans="1:8" x14ac:dyDescent="0.25">
      <c r="A24" s="4" t="s">
        <v>274</v>
      </c>
      <c r="C24" s="27">
        <f>C23*100000/Assumptions!$C$4/1000000</f>
        <v>1</v>
      </c>
      <c r="D24" s="27">
        <f>D23*100000/Assumptions!$C$4/1000000</f>
        <v>1</v>
      </c>
      <c r="E24" s="27">
        <f>E23*100000/Assumptions!$C$4/1000000</f>
        <v>1</v>
      </c>
      <c r="F24" s="27">
        <f>F23*100000/Assumptions!$C$4/1000000</f>
        <v>1</v>
      </c>
      <c r="G24" s="27">
        <f>G23*100000/Assumptions!$C$4/1000000</f>
        <v>1</v>
      </c>
      <c r="H24" s="27">
        <f>H23*100000/Assumptions!$C$4/1000000</f>
        <v>5</v>
      </c>
    </row>
    <row r="26" spans="1:9" x14ac:dyDescent="0.25">
      <c r="A26" s="12" t="s">
        <v>275</v>
      </c>
      <c r="B26" s="13"/>
      <c r="C26" s="13"/>
      <c r="D26" s="13"/>
      <c r="E26" s="13"/>
      <c r="F26" s="13"/>
      <c r="G26" s="13"/>
      <c r="H26" s="13"/>
      <c r="I26" s="13"/>
    </row>
    <row r="27" spans="1:8" x14ac:dyDescent="0.25">
      <c r="A27" s="4" t="s">
        <v>276</v>
      </c>
      <c r="H27" s="20">
        <f>(H4+H5)/H23</f>
        <v>0.10231578947</v>
      </c>
    </row>
    <row r="28" spans="1:8" x14ac:dyDescent="0.25">
      <c r="A28" s="4" t="s">
        <v>277</v>
      </c>
      <c r="H28" s="20">
        <f>(H7+H8+H9)/H23</f>
        <v>0.063157894737</v>
      </c>
    </row>
    <row r="29" spans="1:8" x14ac:dyDescent="0.25">
      <c r="A29" s="4" t="s">
        <v>278</v>
      </c>
      <c r="H29" s="20">
        <f>(H11)/H23</f>
        <v>0.025684210526</v>
      </c>
    </row>
    <row r="30" spans="1:8" x14ac:dyDescent="0.25">
      <c r="A30" s="4" t="s">
        <v>279</v>
      </c>
      <c r="H30" s="20">
        <f>(H13+H14+H15+H16)/H23</f>
        <v>0.12623157895</v>
      </c>
    </row>
    <row r="31" spans="1:8" x14ac:dyDescent="0.25">
      <c r="A31" s="4" t="s">
        <v>280</v>
      </c>
      <c r="H31" s="20">
        <f>(H18+H19+H20)/H23</f>
        <v>0.16842105263</v>
      </c>
    </row>
    <row r="32" spans="1:8" x14ac:dyDescent="0.25">
      <c r="A32" s="4" t="s">
        <v>281</v>
      </c>
      <c r="H32" s="20">
        <f>(H22)/H23</f>
        <v>0.51418947368</v>
      </c>
    </row>
    <row r="34" spans="1:9" x14ac:dyDescent="0.25">
      <c r="A34" s="12" t="s">
        <v>282</v>
      </c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4" t="s">
        <v>283</v>
      </c>
      <c r="H35" s="11">
        <f>(H23-H22)/12/5</f>
        <v>38.46</v>
      </c>
      <c r="I35" s="6" t="s">
        <v>284</v>
      </c>
    </row>
    <row r="36" spans="1:8" x14ac:dyDescent="0.25">
      <c r="A36" s="4" t="s">
        <v>285</v>
      </c>
      <c r="H36" s="18">
        <f>6*5+18*3</f>
        <v>84</v>
      </c>
    </row>
    <row r="37" spans="1:9" x14ac:dyDescent="0.25">
      <c r="A37" s="4" t="s">
        <v>286</v>
      </c>
      <c r="H37" s="11">
        <f>H22/H36</f>
        <v>29.076190476</v>
      </c>
      <c r="I37" s="6" t="s">
        <v>287</v>
      </c>
    </row>
    <row r="38" spans="1:8" x14ac:dyDescent="0.25">
      <c r="A38" s="4" t="s">
        <v>288</v>
      </c>
      <c r="H38" s="18">
        <f>Federation!$C$3*Unit_Econ!$D$3</f>
        <v>23400</v>
      </c>
    </row>
    <row r="39" spans="1:8" x14ac:dyDescent="0.25">
      <c r="A39" s="4" t="s">
        <v>289</v>
      </c>
      <c r="B39" s="4" t="s">
        <v>17</v>
      </c>
      <c r="H39" s="18">
        <f>H23*100000/H38</f>
        <v>20299.145299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showGridLines="0"/>
  </sheetViews>
  <sheetFormatPr defaultRowHeight="15" outlineLevelRow="0" outlineLevelCol="0" x14ac:dyDescent="55"/>
  <cols>
    <col min="1" max="1" width="52" customWidth="1"/>
    <col min="3" max="5" width="12" customWidth="1"/>
    <col min="6" max="6" width="80" customWidth="1"/>
  </cols>
  <sheetData>
    <row r="1" spans="1:1" x14ac:dyDescent="0.25">
      <c r="A1" s="1" t="s">
        <v>290</v>
      </c>
    </row>
    <row r="2" spans="1:6" x14ac:dyDescent="0.25">
      <c r="A2" s="2" t="s">
        <v>291</v>
      </c>
      <c r="B2" s="2" t="s">
        <v>2</v>
      </c>
      <c r="C2" s="3" t="s">
        <v>292</v>
      </c>
      <c r="D2" s="3" t="s">
        <v>293</v>
      </c>
      <c r="E2" s="3" t="s">
        <v>294</v>
      </c>
      <c r="F2" s="3" t="s">
        <v>295</v>
      </c>
    </row>
    <row r="3" spans="1:6" x14ac:dyDescent="0.25">
      <c r="A3" s="4" t="s">
        <v>296</v>
      </c>
      <c r="C3" s="7">
        <v>0.15</v>
      </c>
      <c r="D3" s="20">
        <f>(Assumptions!$C$8*7+Assumptions!$D$8*5)/12</f>
        <v>0.47916666667</v>
      </c>
      <c r="E3" s="7">
        <v>0.39</v>
      </c>
      <c r="F3" s="6" t="s">
        <v>297</v>
      </c>
    </row>
    <row r="4" spans="1:6" x14ac:dyDescent="0.25">
      <c r="A4" s="4" t="s">
        <v>298</v>
      </c>
      <c r="B4" s="4" t="s">
        <v>12</v>
      </c>
      <c r="C4" s="21">
        <f>Case_Data!$C$8</f>
        <v>27.5</v>
      </c>
      <c r="D4" s="11">
        <f>(Unit_Econ!$D$10*7+Unit_Econ!$F$10*5)/12</f>
        <v>103.14072917</v>
      </c>
      <c r="E4" s="8">
        <v>100</v>
      </c>
      <c r="F4" s="6" t="s">
        <v>299</v>
      </c>
    </row>
    <row r="5" spans="1:6" x14ac:dyDescent="0.25">
      <c r="A5" s="4" t="s">
        <v>300</v>
      </c>
      <c r="C5" s="5">
        <v>0</v>
      </c>
      <c r="D5" s="5">
        <v>6</v>
      </c>
      <c r="E5" s="5">
        <v>4</v>
      </c>
      <c r="F5" s="6" t="s">
        <v>301</v>
      </c>
    </row>
    <row r="6" spans="1:4" x14ac:dyDescent="0.25">
      <c r="A6" s="4" t="s">
        <v>10</v>
      </c>
      <c r="C6" s="19">
        <f>Case_Data!$C$5</f>
        <v>0.2</v>
      </c>
      <c r="D6" s="19">
        <f>Unit_Econ!$D$4</f>
        <v>0.38461538462</v>
      </c>
    </row>
    <row r="7" spans="1:6" x14ac:dyDescent="0.25">
      <c r="A7" s="4" t="s">
        <v>302</v>
      </c>
      <c r="C7" s="5">
        <v>1</v>
      </c>
      <c r="D7" s="5">
        <v>3</v>
      </c>
      <c r="F7" s="6" t="s">
        <v>303</v>
      </c>
    </row>
    <row r="8" spans="1:6" x14ac:dyDescent="0.25">
      <c r="A8" s="4" t="s">
        <v>304</v>
      </c>
      <c r="C8" s="5">
        <v>0</v>
      </c>
      <c r="D8" s="5">
        <v>12</v>
      </c>
      <c r="E8" s="5">
        <v>0.3</v>
      </c>
      <c r="F8" s="6" t="s">
        <v>305</v>
      </c>
    </row>
    <row r="9" spans="1:6" x14ac:dyDescent="0.25">
      <c r="A9" s="4" t="s">
        <v>306</v>
      </c>
      <c r="C9" s="5">
        <v>0</v>
      </c>
      <c r="D9" s="5">
        <v>1</v>
      </c>
      <c r="F9" s="6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showGridLines="0"/>
  </sheetViews>
  <sheetFormatPr defaultRowHeight="15" outlineLevelRow="0" outlineLevelCol="0" x14ac:dyDescent="55"/>
  <cols>
    <col min="1" max="1" width="60" customWidth="1"/>
    <col min="3" max="4" width="12" customWidth="1"/>
    <col min="5" max="5" width="40" customWidth="1"/>
  </cols>
  <sheetData>
    <row r="1" spans="1:1" x14ac:dyDescent="0.25">
      <c r="A1" s="1" t="s">
        <v>308</v>
      </c>
    </row>
    <row r="2" spans="1:4" x14ac:dyDescent="0.25">
      <c r="A2" s="4" t="s">
        <v>309</v>
      </c>
      <c r="C2" s="27">
        <f>ABS(Budget!$C$23-950)+ABS(Budget!$D$23-950)+ABS(Budget!$E$23-950)+ABS(Budget!$F$23-950)+ABS(Budget!$G$23-950)</f>
        <v>0</v>
      </c>
      <c r="D2" s="28" t="str">
        <f>IF(ABS(C2)&lt;0.001,"OK","CHECK")</f>
        <v>OK</v>
      </c>
    </row>
    <row r="3" spans="1:4" x14ac:dyDescent="0.25">
      <c r="A3" s="4" t="s">
        <v>310</v>
      </c>
      <c r="C3" s="27">
        <f>Budget!$H$27+Budget!$H$28+Budget!$H$29+Budget!$H$30+Budget!$H$31+Budget!$H$32-1</f>
        <v>0</v>
      </c>
      <c r="D3" s="28" t="str">
        <f>IF(ABS(C3)&lt;0.001,"OK","CHECK")</f>
        <v>OK</v>
      </c>
    </row>
    <row r="4" spans="1:4" x14ac:dyDescent="0.25">
      <c r="A4" s="4" t="s">
        <v>311</v>
      </c>
      <c r="C4" s="27">
        <f>ABS(Infra!$C$13+Infra!$C$14+Infra!$C$15+Infra!$C$16-Infra!$C$11)+ABS(Infra!$D$13+Infra!$D$14+Infra!$D$15+Infra!$D$16-Infra!$D$11)</f>
        <v>0</v>
      </c>
      <c r="D4" s="28" t="str">
        <f>IF(ABS(C4)&lt;0.001,"OK","CHECK")</f>
        <v>OK</v>
      </c>
    </row>
    <row r="5" spans="1:4" x14ac:dyDescent="0.25">
      <c r="A5" s="4" t="s">
        <v>312</v>
      </c>
      <c r="C5" s="27">
        <f>Budget!$H$11-Infra!$C$19</f>
        <v>0</v>
      </c>
      <c r="D5" s="28" t="str">
        <f>IF(ABS(C5)&lt;0.001,"OK","CHECK")</f>
        <v>OK</v>
      </c>
    </row>
    <row r="6" spans="1:4" x14ac:dyDescent="0.25">
      <c r="A6" s="4" t="s">
        <v>313</v>
      </c>
      <c r="C6" s="27">
        <f>Case_Data!$C$10-Case_Data!$C$11</f>
        <v>0</v>
      </c>
      <c r="D6" s="28" t="str">
        <f>IF(ABS(C6)&lt;0.001,"OK","CHECK")</f>
        <v>OK</v>
      </c>
    </row>
    <row r="7" spans="1:4" x14ac:dyDescent="0.25">
      <c r="A7" s="4" t="s">
        <v>314</v>
      </c>
      <c r="C7" s="27">
        <f>Working_Capital!$E$11+Working_Capital!$E$12-Working_Capital!$E$10</f>
        <v>0</v>
      </c>
      <c r="D7" s="28" t="str">
        <f>IF(ABS(C7)&lt;0.001,"OK","CHECK")</f>
        <v>OK</v>
      </c>
    </row>
    <row r="8" spans="1:4" x14ac:dyDescent="0.25">
      <c r="A8" s="4" t="s">
        <v>315</v>
      </c>
      <c r="C8" s="27">
        <f>MAX(0,Federation!$C$17-Federation!$C$18)</f>
        <v>0</v>
      </c>
      <c r="D8" s="28" t="str">
        <f>IF(ABS(C8)&lt;0.001,"OK","CHECK")</f>
        <v>OK</v>
      </c>
    </row>
    <row r="9" spans="1:4" x14ac:dyDescent="0.25">
      <c r="A9" s="4" t="s">
        <v>316</v>
      </c>
      <c r="C9" s="27">
        <f>MAX(0,1-Federation!$C$24)</f>
        <v>0</v>
      </c>
      <c r="D9" s="28" t="str">
        <f>IF(ABS(C9)&lt;0.001,"OK","CHECK")</f>
        <v>OK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Case_Data</vt:lpstr>
      <vt:lpstr>Assumptions</vt:lpstr>
      <vt:lpstr>Unit_Econ</vt:lpstr>
      <vt:lpstr>Working_Capital</vt:lpstr>
      <vt:lpstr>Infra</vt:lpstr>
      <vt:lpstr>Federation</vt:lpstr>
      <vt:lpstr>Budget</vt:lpstr>
      <vt:lpstr>Targets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dc:title/>
  <dc:subject/>
  <dc:description/>
  <cp:keywords/>
  <cp:category/>
  <cp:lastModifiedBy>Team</cp:lastModifiedBy>
  <dcterms:created xsi:type="dcterms:W3CDTF">2026-10-27T14:57:37Z</dcterms:created>
  <dcterms:modified xsi:type="dcterms:W3CDTF">2026-10-27T14:57:37Z</dcterms:modified>
</cp:coreProperties>
</file>